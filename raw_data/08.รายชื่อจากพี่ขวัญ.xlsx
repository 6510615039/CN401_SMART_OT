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5106\year4\CN401-project\raw_data\"/>
    </mc:Choice>
  </mc:AlternateContent>
  <xr:revisionPtr revIDLastSave="0" documentId="13_ncr:1_{D4930079-4F78-4617-BC86-573AFB4ABBEB}" xr6:coauthVersionLast="47" xr6:coauthVersionMax="47" xr10:uidLastSave="{00000000-0000-0000-0000-000000000000}"/>
  <bookViews>
    <workbookView xWindow="-110" yWindow="-110" windowWidth="19420" windowHeight="11440" xr2:uid="{75997069-20A4-4D52-84A3-A4EEFAFD0834}"/>
  </bookViews>
  <sheets>
    <sheet name="รายชื่อ " sheetId="1" r:id="rId1"/>
    <sheet name="ตัวอย่างการเบิ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3" i="2" l="1"/>
  <c r="AJ23" i="2" s="1"/>
  <c r="AG21" i="2"/>
  <c r="AJ21" i="2" s="1"/>
  <c r="AG19" i="2"/>
  <c r="AJ19" i="2" s="1"/>
  <c r="AG17" i="2"/>
  <c r="AJ17" i="2" s="1"/>
  <c r="AG15" i="2"/>
  <c r="AJ15" i="2" s="1"/>
  <c r="AF13" i="2"/>
  <c r="AG13" i="2" s="1"/>
  <c r="AJ13" i="2" s="1"/>
  <c r="AJ11" i="2"/>
  <c r="AG11" i="2"/>
  <c r="AJ9" i="2"/>
  <c r="AG9" i="2"/>
  <c r="AG7" i="2"/>
  <c r="AG24" i="2" l="1"/>
  <c r="C25" i="2" s="1"/>
  <c r="AJ7" i="2"/>
</calcChain>
</file>

<file path=xl/sharedStrings.xml><?xml version="1.0" encoding="utf-8"?>
<sst xmlns="http://schemas.openxmlformats.org/spreadsheetml/2006/main" count="491" uniqueCount="216">
  <si>
    <t>0001</t>
  </si>
  <si>
    <t>อรพรรณ คงมาลัย</t>
  </si>
  <si>
    <t>0002</t>
  </si>
  <si>
    <t>เกรียงไกร วัฒนาสวัสดิ์</t>
  </si>
  <si>
    <t>0003</t>
  </si>
  <si>
    <t>วิชรา พรหมสาขา ณ สกลนคร</t>
  </si>
  <si>
    <t>0004</t>
  </si>
  <si>
    <t xml:space="preserve">สาริยา นวมจิต </t>
  </si>
  <si>
    <t>0005</t>
  </si>
  <si>
    <t>สุภาวดี คำม่วง</t>
  </si>
  <si>
    <t>0006</t>
  </si>
  <si>
    <t xml:space="preserve">ศศิมา ร่วมพุ่ม </t>
  </si>
  <si>
    <t>0007</t>
  </si>
  <si>
    <t xml:space="preserve">ธมลวรรณ ปิ่นมณี </t>
  </si>
  <si>
    <t>0008</t>
  </si>
  <si>
    <t>มนธณรรฐ รักสุข</t>
  </si>
  <si>
    <t>0009</t>
  </si>
  <si>
    <t>ปรียากร ป้อมสุวรรณ</t>
  </si>
  <si>
    <t>0010</t>
  </si>
  <si>
    <t>สิริพันธุ์ บัวดี</t>
  </si>
  <si>
    <t>0011</t>
  </si>
  <si>
    <t>สุชาวดี หอมจันทร์</t>
  </si>
  <si>
    <t>0012</t>
  </si>
  <si>
    <t xml:space="preserve">อารีรัตน์ สีเหลือง </t>
  </si>
  <si>
    <t>0013</t>
  </si>
  <si>
    <t>ธรณ์ดาณี  มุขหิรัญพันธ์</t>
  </si>
  <si>
    <t>0014</t>
  </si>
  <si>
    <t>เทพฤทธิ์ พุทธรักษ์</t>
  </si>
  <si>
    <t>0015</t>
  </si>
  <si>
    <t>สมาภรณ์ แก้วท่าไม้</t>
  </si>
  <si>
    <t>0016</t>
  </si>
  <si>
    <t>สันติ หงษ์ทอง</t>
  </si>
  <si>
    <t>0017</t>
  </si>
  <si>
    <t xml:space="preserve">จุฑามาศ ทิมดี </t>
  </si>
  <si>
    <t>0019</t>
  </si>
  <si>
    <t>นิธิกร  ศรีลารักษ์</t>
  </si>
  <si>
    <t>0020</t>
  </si>
  <si>
    <t>กรกนก ประภาสโสภณ</t>
  </si>
  <si>
    <t>0021</t>
  </si>
  <si>
    <t>ศศิประภา เจนสุทธิเวชกุล</t>
  </si>
  <si>
    <t>0022</t>
  </si>
  <si>
    <t>ทรงวุฒิ วงค์สุวรรณ</t>
  </si>
  <si>
    <t>0023</t>
  </si>
  <si>
    <t>รัชญา รุ่นมะลัง</t>
  </si>
  <si>
    <t>0024</t>
  </si>
  <si>
    <t>กนกกาญจน์ เวชชกรรม</t>
  </si>
  <si>
    <t>0025</t>
  </si>
  <si>
    <t>ปณิธาน จุลพันธ์</t>
  </si>
  <si>
    <t>0026</t>
  </si>
  <si>
    <t>ไตรรัตนา วงค์คร้าย</t>
  </si>
  <si>
    <t>0027</t>
  </si>
  <si>
    <t>สริญา จิตรหวล</t>
  </si>
  <si>
    <t>0028</t>
  </si>
  <si>
    <t>รุ่งทิพย์ รุ่งวิวัฒนกูล</t>
  </si>
  <si>
    <t>0029</t>
  </si>
  <si>
    <t>จุฑามาศ เวศวิทย์</t>
  </si>
  <si>
    <t>0030</t>
  </si>
  <si>
    <t>ศุภลักษณ์ พีเค.</t>
  </si>
  <si>
    <t>0031</t>
  </si>
  <si>
    <t>ปัทมา ภู่ทอง</t>
  </si>
  <si>
    <t>0032</t>
  </si>
  <si>
    <t>กนกพรรณพร ครองภูมินทร์</t>
  </si>
  <si>
    <t>0033</t>
  </si>
  <si>
    <t>ปริศนา ไชยแสง</t>
  </si>
  <si>
    <t>0034</t>
  </si>
  <si>
    <t xml:space="preserve">จุฑาภัค จงดี </t>
  </si>
  <si>
    <t>0035</t>
  </si>
  <si>
    <t xml:space="preserve">สุภารัตน์ ลิจุติภูมิ </t>
  </si>
  <si>
    <t>0036</t>
  </si>
  <si>
    <t>วิมล สุทธิกุล</t>
  </si>
  <si>
    <t>0037</t>
  </si>
  <si>
    <t>จตุรงค์ เสาน้อย</t>
  </si>
  <si>
    <t>0038</t>
  </si>
  <si>
    <t xml:space="preserve">กฤษณ์ เรืองชัย </t>
  </si>
  <si>
    <t>0039</t>
  </si>
  <si>
    <t>พัชราภรณ์ ศรีเพียงจันทร์</t>
  </si>
  <si>
    <t>0040</t>
  </si>
  <si>
    <t>เสกสันต์ อำนวยพานิช</t>
  </si>
  <si>
    <t>0041</t>
  </si>
  <si>
    <t xml:space="preserve">สุมิตตา ใจมั่น </t>
  </si>
  <si>
    <t>0042</t>
  </si>
  <si>
    <t>ยุทธนา พงษ์เผือก</t>
  </si>
  <si>
    <t>0043</t>
  </si>
  <si>
    <t xml:space="preserve">ดวงพร  โสติถิมานนท์ </t>
  </si>
  <si>
    <t>0044</t>
  </si>
  <si>
    <t>ธีรารัตน์ สุทธิพงศ์</t>
  </si>
  <si>
    <t>0045</t>
  </si>
  <si>
    <t>คณิตา ซองศิริ</t>
  </si>
  <si>
    <t>0046</t>
  </si>
  <si>
    <t>ทราภรณ์ วรกุลดำรง</t>
  </si>
  <si>
    <t>0047</t>
  </si>
  <si>
    <t>ทองยุ่น มธุรส</t>
  </si>
  <si>
    <t>0048</t>
  </si>
  <si>
    <t>ขวัญกมล ทองเนียม</t>
  </si>
  <si>
    <t>0049</t>
  </si>
  <si>
    <t>ศิรินันท์ กันนิ่ม</t>
  </si>
  <si>
    <t>0050</t>
  </si>
  <si>
    <t>อุบลทิพย์ โพธิลังกา</t>
  </si>
  <si>
    <t>0051</t>
  </si>
  <si>
    <t>อัมพร ศรีสุวรรณ</t>
  </si>
  <si>
    <t>0052</t>
  </si>
  <si>
    <t>ว่าที่ ร.ต.สายชล ปานทอง</t>
  </si>
  <si>
    <t>0053</t>
  </si>
  <si>
    <t>ก่อเกียรติ พรหมขจร</t>
  </si>
  <si>
    <t>0059</t>
  </si>
  <si>
    <t>นันทภพ ดำรงค์ชีพ</t>
  </si>
  <si>
    <t>ID</t>
  </si>
  <si>
    <t>Name</t>
  </si>
  <si>
    <t>ผู้บริหาร</t>
  </si>
  <si>
    <t>งานทะเบียนนักศึกษา 1</t>
  </si>
  <si>
    <t>งานทะเบียนนักศึกษา 2</t>
  </si>
  <si>
    <t>งานทะเบียนนักศึกษา 3</t>
  </si>
  <si>
    <t>งานเทคโนโลยีและสื่อสารดิจิทัล</t>
  </si>
  <si>
    <t>งานยุทธศาสตร์และบริหารสำนักงานทะเบียน</t>
  </si>
  <si>
    <t xml:space="preserve">สังกัด </t>
  </si>
  <si>
    <t>หัวหน้างาน</t>
  </si>
  <si>
    <t>ตัวแทน</t>
  </si>
  <si>
    <t>หลักฐานการเบิกจ่ายเงินตอบแทนการปฏิบัติงานนอกเวลาราชการ</t>
  </si>
  <si>
    <t>สำนักงานทะเบียนนักศึกษา  ประจำเดือนพฤษภาคม พ.ศ. 2569</t>
  </si>
  <si>
    <t>ลำดับที่</t>
  </si>
  <si>
    <t>ชื่อ-สกุล</t>
  </si>
  <si>
    <t>วันปฏิบัติงานนอกเวลาราชการ</t>
  </si>
  <si>
    <t>รวมเวลาปฏิบัติงาน</t>
  </si>
  <si>
    <t>จำนวนเงิน</t>
  </si>
  <si>
    <t>ว.ด.ป. ที่รับเงิน</t>
  </si>
  <si>
    <t>ลายมือชื่อผู้รับเงิน</t>
  </si>
  <si>
    <t>หมายเหตุ</t>
  </si>
  <si>
    <t>วันปกติ(ชั่วโมง)</t>
  </si>
  <si>
    <t>วันหยุด(ชั่วโมง)</t>
  </si>
  <si>
    <t xml:space="preserve">นางสาวดวงพร  โสติถิมานนท์ </t>
  </si>
  <si>
    <t>พ. 13 พ.ค. 69</t>
  </si>
  <si>
    <t>พฤ. 14 พ.ค. 69</t>
  </si>
  <si>
    <t>10:52</t>
  </si>
  <si>
    <t>-</t>
  </si>
  <si>
    <t>16:27</t>
  </si>
  <si>
    <t>น.</t>
  </si>
  <si>
    <t>16:30</t>
  </si>
  <si>
    <t>18:50</t>
  </si>
  <si>
    <t>นางสาวธีรารัตน์  สุทธิพงศ์</t>
  </si>
  <si>
    <t>18:49</t>
  </si>
  <si>
    <t>นางสาวคณิตา ซองศิริ</t>
  </si>
  <si>
    <t>พฤ. 28 พ.ค. 69</t>
  </si>
  <si>
    <t>19:13</t>
  </si>
  <si>
    <t>นางสาวทองยุ่น  มธุรส</t>
  </si>
  <si>
    <t>จ. 11 พ.ค. 69</t>
  </si>
  <si>
    <t>อ. 12 พ.ค. 69</t>
  </si>
  <si>
    <t>ศ. 15 พ.ค. 69</t>
  </si>
  <si>
    <t>อา. 17 พ.ค. 69</t>
  </si>
  <si>
    <t>อ. 19 พ.ค. 69</t>
  </si>
  <si>
    <t>อา. 24 พ.ค. 69</t>
  </si>
  <si>
    <t>อา. 31 พ.ค. 69</t>
  </si>
  <si>
    <t>20:53</t>
  </si>
  <si>
    <t>21:30</t>
  </si>
  <si>
    <t>21:14</t>
  </si>
  <si>
    <t>13:15</t>
  </si>
  <si>
    <t>21:31</t>
  </si>
  <si>
    <t>12:14</t>
  </si>
  <si>
    <t>19:18</t>
  </si>
  <si>
    <t>13:13</t>
  </si>
  <si>
    <t>นางขวัญกมล ทองเนียม</t>
  </si>
  <si>
    <t>อา. 9 พ.ค. 69</t>
  </si>
  <si>
    <t>นางสาวศิรินันท์  กันนิ่ม</t>
  </si>
  <si>
    <t>อา. 3 พ.ค. 69</t>
  </si>
  <si>
    <t>อา. 10 พ.ค. 69</t>
  </si>
  <si>
    <t>07:57</t>
  </si>
  <si>
    <t>07:09</t>
  </si>
  <si>
    <t>16:41</t>
  </si>
  <si>
    <t>นางสาวอุบลทิพย์  โพธิลังกา</t>
  </si>
  <si>
    <t>ส. 30 พ.ค. 69</t>
  </si>
  <si>
    <t>09:01</t>
  </si>
  <si>
    <t>08:35</t>
  </si>
  <si>
    <t>15:43</t>
  </si>
  <si>
    <t>08:21</t>
  </si>
  <si>
    <t>ว่าที่ร้อยตรี สายชล  ปานทอง</t>
  </si>
  <si>
    <t>พฤ. 7 พ.ค. 69</t>
  </si>
  <si>
    <t>19:32</t>
  </si>
  <si>
    <t>18:14</t>
  </si>
  <si>
    <t>นางสาวอัมพร  ศรีสุวรรณ</t>
  </si>
  <si>
    <t>ส. 2 พ.ค. 69</t>
  </si>
  <si>
    <t>10:49</t>
  </si>
  <si>
    <t>17:21</t>
  </si>
  <si>
    <t>16:00</t>
  </si>
  <si>
    <t>18:10</t>
  </si>
  <si>
    <t>19:07</t>
  </si>
  <si>
    <t>รวมเป็นเงิน</t>
  </si>
  <si>
    <t xml:space="preserve">รวมเงินจ่ายทั้งสิ้น(ตัวอักษร)  </t>
  </si>
  <si>
    <t>ขอรับรองว่า ผู้มีรายชื่อข้างต้นปฏิบัติงานนอกเวลาราชการจริง</t>
  </si>
  <si>
    <t>ลงชื่อ</t>
  </si>
  <si>
    <t>ผู้รับรองการปฏิบัติงาน</t>
  </si>
  <si>
    <t>ผู้จ่ายเงิน</t>
  </si>
  <si>
    <t xml:space="preserve">    (นางสาวสาริยา  นวมจิต)</t>
  </si>
  <si>
    <t>(นางสาวทองยุ่น  มธุรส)</t>
  </si>
  <si>
    <t>รักษาการในตำแหน่งเลขานุการสำนักงานทะเบียนนักศึกษา</t>
  </si>
  <si>
    <t>นักวิชาการเงินและบัญชีขำนาญการ</t>
  </si>
  <si>
    <t>ลำดับ</t>
  </si>
  <si>
    <t>ที่</t>
  </si>
  <si>
    <t>จำนวน</t>
  </si>
  <si>
    <t>ว.ด.ป.</t>
  </si>
  <si>
    <t>ลายมือชื่อ</t>
  </si>
  <si>
    <t>วัน</t>
  </si>
  <si>
    <t>เงิน</t>
  </si>
  <si>
    <t>ที่รับเงิน</t>
  </si>
  <si>
    <t>ผู้รับเงิน</t>
  </si>
  <si>
    <t>หยุด</t>
  </si>
  <si>
    <t>ชม.</t>
  </si>
  <si>
    <t>รวมจ่ายเงินทั้งสิ้น (ตัวอักษร)……หนึ่งหมื่นเจ็ดร้อยบาทถ้วน……………………………………...……………….</t>
  </si>
  <si>
    <t>รวม</t>
  </si>
  <si>
    <t>ขอรับรองว่า      ผู้มีรายชื่อข้างต้นปฏิบัติงานนอกเวลาจริง</t>
  </si>
  <si>
    <t>ลงชื่อ………………………………………………….หัวหน้าควบคุม</t>
  </si>
  <si>
    <t>ลงชื่อ………………………………...….ผู้จ่ายเงิน</t>
  </si>
  <si>
    <t>หลักฐานการจ่ายเงินค่าตอบแทนการปฏิบัติงานนอกเวลาราชการ</t>
  </si>
  <si>
    <t>ชื่อส่วนราชการ   สำนักทะเบียนและประมวลผล  จังหวัดกรุงเทพฯ   ประจำเดือน …ตุลาคม………พ.ศ.…2543………..</t>
  </si>
  <si>
    <t>เบิกตามฎีกาที่………………………………………..ลงวันที่…………………..เดือน……………………….. พ.ศ……………….</t>
  </si>
  <si>
    <t>ตัวแทนฝ่าย</t>
  </si>
  <si>
    <t>ผู้ตรวจสอบ</t>
  </si>
  <si>
    <t>แอดมิน / ตัวแทนฝ่าย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</si>
</sst>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6">
    <font>
      <sz val="11"/>
      <color theme="1"/>
      <name val="Calibri"/>
      <family val="2"/>
      <scheme val="minor"/>
    </font>
    <font>
      <sz val="15"/>
      <color theme="1"/>
      <name val="TH Sarabun New"/>
      <family val="2"/>
    </font>
    <font>
      <b/>
      <sz val="15"/>
      <color theme="1"/>
      <name val="TH Sarabun New"/>
      <family val="2"/>
    </font>
    <font>
      <b/>
      <sz val="15"/>
      <name val="TH Sarabun New"/>
      <family val="2"/>
    </font>
    <font>
      <b/>
      <sz val="14"/>
      <name val="TH Sarabun New"/>
      <family val="2"/>
    </font>
    <font>
      <sz val="15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/>
    </xf>
    <xf numFmtId="49" fontId="1" fillId="0" borderId="0" xfId="0" applyNumberFormat="1" applyFont="1"/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3" fontId="5" fillId="0" borderId="9" xfId="0" applyNumberFormat="1" applyFont="1" applyBorder="1" applyAlignment="1">
      <alignment horizontal="right"/>
    </xf>
    <xf numFmtId="0" fontId="5" fillId="0" borderId="9" xfId="0" applyFont="1" applyBorder="1"/>
    <xf numFmtId="3" fontId="5" fillId="0" borderId="9" xfId="0" applyNumberFormat="1" applyFont="1" applyBorder="1"/>
    <xf numFmtId="0" fontId="3" fillId="0" borderId="9" xfId="0" applyFont="1" applyBorder="1"/>
    <xf numFmtId="0" fontId="5" fillId="0" borderId="0" xfId="0" applyFont="1"/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/>
    <xf numFmtId="0" fontId="5" fillId="2" borderId="15" xfId="0" applyFont="1" applyFill="1" applyBorder="1"/>
    <xf numFmtId="49" fontId="1" fillId="0" borderId="13" xfId="0" applyNumberFormat="1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20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3" fontId="5" fillId="0" borderId="12" xfId="0" applyNumberFormat="1" applyFont="1" applyBorder="1" applyAlignment="1">
      <alignment horizontal="right"/>
    </xf>
    <xf numFmtId="3" fontId="3" fillId="0" borderId="12" xfId="0" applyNumberFormat="1" applyFont="1" applyBorder="1"/>
    <xf numFmtId="20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2" borderId="1" xfId="0" applyFont="1" applyFill="1" applyBorder="1" applyAlignment="1">
      <alignment horizontal="center" vertical="center" wrapText="1"/>
    </xf>
    <xf numFmtId="20" fontId="5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20" fontId="1" fillId="2" borderId="14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3" fontId="5" fillId="0" borderId="3" xfId="0" applyNumberFormat="1" applyFont="1" applyBorder="1"/>
    <xf numFmtId="0" fontId="3" fillId="0" borderId="3" xfId="0" applyFont="1" applyBorder="1"/>
    <xf numFmtId="0" fontId="5" fillId="0" borderId="13" xfId="0" applyFont="1" applyBorder="1"/>
    <xf numFmtId="0" fontId="1" fillId="0" borderId="14" xfId="0" applyFont="1" applyBorder="1" applyAlignment="1">
      <alignment horizontal="center" vertical="center" wrapText="1"/>
    </xf>
    <xf numFmtId="2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3" fontId="3" fillId="0" borderId="16" xfId="0" applyNumberFormat="1" applyFont="1" applyBorder="1"/>
    <xf numFmtId="0" fontId="5" fillId="0" borderId="0" xfId="0" applyFont="1" applyAlignment="1">
      <alignment horizontal="center" vertical="center"/>
    </xf>
    <xf numFmtId="3" fontId="3" fillId="0" borderId="0" xfId="0" applyNumberFormat="1" applyFont="1"/>
    <xf numFmtId="0" fontId="5" fillId="0" borderId="0" xfId="0" applyFont="1" applyAlignment="1">
      <alignment horizontal="right"/>
    </xf>
    <xf numFmtId="3" fontId="5" fillId="0" borderId="0" xfId="0" applyNumberFormat="1" applyFont="1"/>
    <xf numFmtId="0" fontId="3" fillId="0" borderId="17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 indent="2"/>
    </xf>
    <xf numFmtId="0" fontId="5" fillId="0" borderId="10" xfId="0" applyFont="1" applyBorder="1" applyAlignment="1">
      <alignment horizontal="center"/>
    </xf>
    <xf numFmtId="0" fontId="3" fillId="0" borderId="12" xfId="0" applyFont="1" applyBorder="1"/>
    <xf numFmtId="0" fontId="5" fillId="0" borderId="9" xfId="0" applyFont="1" applyBorder="1" applyAlignment="1">
      <alignment horizontal="right"/>
    </xf>
    <xf numFmtId="0" fontId="5" fillId="0" borderId="18" xfId="0" applyFont="1" applyBorder="1" applyAlignment="1">
      <alignment horizontal="center"/>
    </xf>
    <xf numFmtId="0" fontId="5" fillId="0" borderId="18" xfId="0" applyFont="1" applyBorder="1"/>
    <xf numFmtId="0" fontId="3" fillId="0" borderId="18" xfId="0" applyFont="1" applyBorder="1"/>
    <xf numFmtId="3" fontId="5" fillId="0" borderId="4" xfId="0" applyNumberFormat="1" applyFont="1" applyBorder="1"/>
    <xf numFmtId="3" fontId="5" fillId="0" borderId="13" xfId="0" applyNumberFormat="1" applyFont="1" applyBorder="1"/>
    <xf numFmtId="3" fontId="5" fillId="0" borderId="18" xfId="0" applyNumberFormat="1" applyFont="1" applyBorder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9488-6D7D-4BEB-8C25-F190CBBB9CE5}">
  <dimension ref="A1:D54"/>
  <sheetViews>
    <sheetView tabSelected="1" topLeftCell="A43" workbookViewId="0">
      <selection activeCell="D49" sqref="D49"/>
    </sheetView>
  </sheetViews>
  <sheetFormatPr defaultRowHeight="19"/>
  <cols>
    <col min="1" max="1" width="12.453125" style="3" customWidth="1"/>
    <col min="2" max="2" width="29.453125" style="3" customWidth="1"/>
    <col min="3" max="3" width="31.7265625" style="109" customWidth="1"/>
    <col min="4" max="4" width="24.08984375" style="3" customWidth="1"/>
    <col min="5" max="16384" width="8.7265625" style="3"/>
  </cols>
  <sheetData>
    <row r="1" spans="1:4" s="4" customFormat="1">
      <c r="A1" s="4" t="s">
        <v>106</v>
      </c>
      <c r="B1" s="4" t="s">
        <v>107</v>
      </c>
      <c r="C1" s="107" t="s">
        <v>114</v>
      </c>
    </row>
    <row r="2" spans="1:4">
      <c r="A2" s="1" t="s">
        <v>0</v>
      </c>
      <c r="B2" s="2" t="s">
        <v>1</v>
      </c>
      <c r="C2" s="108" t="s">
        <v>108</v>
      </c>
    </row>
    <row r="3" spans="1:4">
      <c r="A3" s="1" t="s">
        <v>2</v>
      </c>
      <c r="B3" s="2" t="s">
        <v>3</v>
      </c>
      <c r="C3" s="108" t="s">
        <v>108</v>
      </c>
    </row>
    <row r="4" spans="1:4" ht="38">
      <c r="A4" s="1" t="s">
        <v>4</v>
      </c>
      <c r="B4" s="2" t="s">
        <v>5</v>
      </c>
      <c r="C4" s="108" t="s">
        <v>108</v>
      </c>
    </row>
    <row r="5" spans="1:4">
      <c r="A5" s="1" t="s">
        <v>6</v>
      </c>
      <c r="B5" s="2" t="s">
        <v>7</v>
      </c>
      <c r="C5" s="108" t="s">
        <v>108</v>
      </c>
    </row>
    <row r="6" spans="1:4">
      <c r="A6" s="1" t="s">
        <v>8</v>
      </c>
      <c r="B6" s="2" t="s">
        <v>9</v>
      </c>
      <c r="C6" s="108" t="s">
        <v>108</v>
      </c>
    </row>
    <row r="7" spans="1:4">
      <c r="A7" s="1" t="s">
        <v>10</v>
      </c>
      <c r="B7" s="2" t="s">
        <v>11</v>
      </c>
      <c r="C7" s="108" t="s">
        <v>109</v>
      </c>
      <c r="D7" s="3" t="s">
        <v>115</v>
      </c>
    </row>
    <row r="8" spans="1:4">
      <c r="A8" s="1" t="s">
        <v>12</v>
      </c>
      <c r="B8" s="2" t="s">
        <v>13</v>
      </c>
      <c r="C8" s="108" t="s">
        <v>109</v>
      </c>
    </row>
    <row r="9" spans="1:4">
      <c r="A9" s="1" t="s">
        <v>14</v>
      </c>
      <c r="B9" s="2" t="s">
        <v>15</v>
      </c>
      <c r="C9" s="108" t="s">
        <v>109</v>
      </c>
    </row>
    <row r="10" spans="1:4">
      <c r="A10" s="1" t="s">
        <v>16</v>
      </c>
      <c r="B10" s="2" t="s">
        <v>17</v>
      </c>
      <c r="C10" s="108" t="s">
        <v>109</v>
      </c>
    </row>
    <row r="11" spans="1:4">
      <c r="A11" s="1" t="s">
        <v>18</v>
      </c>
      <c r="B11" s="2" t="s">
        <v>19</v>
      </c>
      <c r="C11" s="108" t="s">
        <v>109</v>
      </c>
    </row>
    <row r="12" spans="1:4">
      <c r="A12" s="1" t="s">
        <v>20</v>
      </c>
      <c r="B12" s="2" t="s">
        <v>21</v>
      </c>
      <c r="C12" s="108" t="s">
        <v>109</v>
      </c>
    </row>
    <row r="13" spans="1:4">
      <c r="A13" s="1" t="s">
        <v>22</v>
      </c>
      <c r="B13" s="2" t="s">
        <v>23</v>
      </c>
      <c r="C13" s="108" t="s">
        <v>109</v>
      </c>
    </row>
    <row r="14" spans="1:4">
      <c r="A14" s="1" t="s">
        <v>24</v>
      </c>
      <c r="B14" s="2" t="s">
        <v>25</v>
      </c>
      <c r="C14" s="108" t="s">
        <v>109</v>
      </c>
      <c r="D14" s="3" t="s">
        <v>213</v>
      </c>
    </row>
    <row r="15" spans="1:4">
      <c r="A15" s="1" t="s">
        <v>26</v>
      </c>
      <c r="B15" s="2" t="s">
        <v>27</v>
      </c>
      <c r="C15" s="108" t="s">
        <v>109</v>
      </c>
    </row>
    <row r="16" spans="1:4">
      <c r="A16" s="1" t="s">
        <v>28</v>
      </c>
      <c r="B16" s="2" t="s">
        <v>29</v>
      </c>
      <c r="C16" s="108" t="s">
        <v>109</v>
      </c>
    </row>
    <row r="17" spans="1:4">
      <c r="A17" s="1" t="s">
        <v>30</v>
      </c>
      <c r="B17" s="2" t="s">
        <v>31</v>
      </c>
      <c r="C17" s="108" t="s">
        <v>109</v>
      </c>
    </row>
    <row r="18" spans="1:4">
      <c r="A18" s="1" t="s">
        <v>32</v>
      </c>
      <c r="B18" s="2" t="s">
        <v>33</v>
      </c>
      <c r="C18" s="108" t="s">
        <v>109</v>
      </c>
    </row>
    <row r="19" spans="1:4">
      <c r="A19" s="1" t="s">
        <v>34</v>
      </c>
      <c r="B19" s="2" t="s">
        <v>35</v>
      </c>
      <c r="C19" s="108" t="s">
        <v>109</v>
      </c>
    </row>
    <row r="20" spans="1:4">
      <c r="A20" s="1" t="s">
        <v>36</v>
      </c>
      <c r="B20" s="2" t="s">
        <v>37</v>
      </c>
      <c r="C20" s="108" t="s">
        <v>110</v>
      </c>
      <c r="D20" s="3" t="s">
        <v>115</v>
      </c>
    </row>
    <row r="21" spans="1:4">
      <c r="A21" s="1" t="s">
        <v>38</v>
      </c>
      <c r="B21" s="2" t="s">
        <v>39</v>
      </c>
      <c r="C21" s="108" t="s">
        <v>110</v>
      </c>
    </row>
    <row r="22" spans="1:4">
      <c r="A22" s="1" t="s">
        <v>40</v>
      </c>
      <c r="B22" s="2" t="s">
        <v>41</v>
      </c>
      <c r="C22" s="108" t="s">
        <v>110</v>
      </c>
    </row>
    <row r="23" spans="1:4">
      <c r="A23" s="1" t="s">
        <v>42</v>
      </c>
      <c r="B23" s="2" t="s">
        <v>43</v>
      </c>
      <c r="C23" s="108" t="s">
        <v>110</v>
      </c>
    </row>
    <row r="24" spans="1:4">
      <c r="A24" s="1" t="s">
        <v>44</v>
      </c>
      <c r="B24" s="2" t="s">
        <v>45</v>
      </c>
      <c r="C24" s="108" t="s">
        <v>110</v>
      </c>
    </row>
    <row r="25" spans="1:4">
      <c r="A25" s="1" t="s">
        <v>46</v>
      </c>
      <c r="B25" s="2" t="s">
        <v>47</v>
      </c>
      <c r="C25" s="108" t="s">
        <v>110</v>
      </c>
      <c r="D25" s="3" t="s">
        <v>213</v>
      </c>
    </row>
    <row r="26" spans="1:4">
      <c r="A26" s="1" t="s">
        <v>48</v>
      </c>
      <c r="B26" s="2" t="s">
        <v>49</v>
      </c>
      <c r="C26" s="108" t="s">
        <v>110</v>
      </c>
    </row>
    <row r="27" spans="1:4">
      <c r="A27" s="1" t="s">
        <v>50</v>
      </c>
      <c r="B27" s="2" t="s">
        <v>51</v>
      </c>
      <c r="C27" s="108" t="s">
        <v>110</v>
      </c>
    </row>
    <row r="28" spans="1:4">
      <c r="A28" s="1" t="s">
        <v>52</v>
      </c>
      <c r="B28" s="2" t="s">
        <v>53</v>
      </c>
      <c r="C28" s="108" t="s">
        <v>111</v>
      </c>
      <c r="D28" s="3" t="s">
        <v>115</v>
      </c>
    </row>
    <row r="29" spans="1:4">
      <c r="A29" s="1" t="s">
        <v>54</v>
      </c>
      <c r="B29" s="2" t="s">
        <v>55</v>
      </c>
      <c r="C29" s="108" t="s">
        <v>111</v>
      </c>
    </row>
    <row r="30" spans="1:4">
      <c r="A30" s="1" t="s">
        <v>56</v>
      </c>
      <c r="B30" s="2" t="s">
        <v>57</v>
      </c>
      <c r="C30" s="108" t="s">
        <v>111</v>
      </c>
    </row>
    <row r="31" spans="1:4">
      <c r="A31" s="1" t="s">
        <v>58</v>
      </c>
      <c r="B31" s="2" t="s">
        <v>59</v>
      </c>
      <c r="C31" s="108" t="s">
        <v>111</v>
      </c>
    </row>
    <row r="32" spans="1:4" ht="38">
      <c r="A32" s="1" t="s">
        <v>60</v>
      </c>
      <c r="B32" s="2" t="s">
        <v>61</v>
      </c>
      <c r="C32" s="108" t="s">
        <v>111</v>
      </c>
    </row>
    <row r="33" spans="1:4">
      <c r="A33" s="1" t="s">
        <v>62</v>
      </c>
      <c r="B33" s="2" t="s">
        <v>63</v>
      </c>
      <c r="C33" s="108" t="s">
        <v>111</v>
      </c>
    </row>
    <row r="34" spans="1:4">
      <c r="A34" s="1" t="s">
        <v>64</v>
      </c>
      <c r="B34" s="2" t="s">
        <v>65</v>
      </c>
      <c r="C34" s="108" t="s">
        <v>111</v>
      </c>
      <c r="D34" s="3" t="s">
        <v>213</v>
      </c>
    </row>
    <row r="35" spans="1:4" ht="38">
      <c r="A35" s="1" t="s">
        <v>66</v>
      </c>
      <c r="B35" s="2" t="s">
        <v>67</v>
      </c>
      <c r="C35" s="108" t="s">
        <v>112</v>
      </c>
      <c r="D35" s="3" t="s">
        <v>115</v>
      </c>
    </row>
    <row r="36" spans="1:4" ht="38">
      <c r="A36" s="1" t="s">
        <v>68</v>
      </c>
      <c r="B36" s="2" t="s">
        <v>69</v>
      </c>
      <c r="C36" s="108" t="s">
        <v>112</v>
      </c>
    </row>
    <row r="37" spans="1:4" ht="38">
      <c r="A37" s="1" t="s">
        <v>70</v>
      </c>
      <c r="B37" s="2" t="s">
        <v>71</v>
      </c>
      <c r="C37" s="108" t="s">
        <v>112</v>
      </c>
    </row>
    <row r="38" spans="1:4" ht="38">
      <c r="A38" s="1" t="s">
        <v>72</v>
      </c>
      <c r="B38" s="2" t="s">
        <v>73</v>
      </c>
      <c r="C38" s="108" t="s">
        <v>112</v>
      </c>
    </row>
    <row r="39" spans="1:4" ht="38">
      <c r="A39" s="1" t="s">
        <v>74</v>
      </c>
      <c r="B39" s="2" t="s">
        <v>75</v>
      </c>
      <c r="C39" s="108" t="s">
        <v>112</v>
      </c>
    </row>
    <row r="40" spans="1:4" ht="38">
      <c r="A40" s="1" t="s">
        <v>76</v>
      </c>
      <c r="B40" s="2" t="s">
        <v>77</v>
      </c>
      <c r="C40" s="108" t="s">
        <v>112</v>
      </c>
      <c r="D40" s="3" t="s">
        <v>116</v>
      </c>
    </row>
    <row r="41" spans="1:4" ht="38">
      <c r="A41" s="1" t="s">
        <v>78</v>
      </c>
      <c r="B41" s="2" t="s">
        <v>79</v>
      </c>
      <c r="C41" s="108" t="s">
        <v>112</v>
      </c>
    </row>
    <row r="42" spans="1:4" ht="38">
      <c r="A42" s="1" t="s">
        <v>80</v>
      </c>
      <c r="B42" s="2" t="s">
        <v>81</v>
      </c>
      <c r="C42" s="108" t="s">
        <v>112</v>
      </c>
    </row>
    <row r="43" spans="1:4" ht="38">
      <c r="A43" s="1" t="s">
        <v>82</v>
      </c>
      <c r="B43" s="2" t="s">
        <v>83</v>
      </c>
      <c r="C43" s="108" t="s">
        <v>113</v>
      </c>
      <c r="D43" s="3" t="s">
        <v>115</v>
      </c>
    </row>
    <row r="44" spans="1:4" ht="38">
      <c r="A44" s="1" t="s">
        <v>84</v>
      </c>
      <c r="B44" s="2" t="s">
        <v>85</v>
      </c>
      <c r="C44" s="108" t="s">
        <v>113</v>
      </c>
    </row>
    <row r="45" spans="1:4" ht="38">
      <c r="A45" s="1" t="s">
        <v>86</v>
      </c>
      <c r="B45" s="2" t="s">
        <v>87</v>
      </c>
      <c r="C45" s="108" t="s">
        <v>113</v>
      </c>
    </row>
    <row r="46" spans="1:4" ht="38">
      <c r="A46" s="1" t="s">
        <v>88</v>
      </c>
      <c r="B46" s="2" t="s">
        <v>89</v>
      </c>
      <c r="C46" s="108" t="s">
        <v>113</v>
      </c>
    </row>
    <row r="47" spans="1:4" ht="38">
      <c r="A47" s="1" t="s">
        <v>90</v>
      </c>
      <c r="B47" s="2" t="s">
        <v>91</v>
      </c>
      <c r="C47" s="108" t="s">
        <v>113</v>
      </c>
      <c r="D47" s="3" t="s">
        <v>214</v>
      </c>
    </row>
    <row r="48" spans="1:4" ht="38">
      <c r="A48" s="1" t="s">
        <v>92</v>
      </c>
      <c r="B48" s="2" t="s">
        <v>93</v>
      </c>
      <c r="C48" s="108" t="s">
        <v>113</v>
      </c>
      <c r="D48" s="3" t="s">
        <v>215</v>
      </c>
    </row>
    <row r="49" spans="1:3" ht="38">
      <c r="A49" s="1" t="s">
        <v>94</v>
      </c>
      <c r="B49" s="2" t="s">
        <v>95</v>
      </c>
      <c r="C49" s="108" t="s">
        <v>113</v>
      </c>
    </row>
    <row r="50" spans="1:3" ht="38">
      <c r="A50" s="1" t="s">
        <v>96</v>
      </c>
      <c r="B50" s="2" t="s">
        <v>97</v>
      </c>
      <c r="C50" s="108" t="s">
        <v>113</v>
      </c>
    </row>
    <row r="51" spans="1:3" ht="38">
      <c r="A51" s="1" t="s">
        <v>98</v>
      </c>
      <c r="B51" s="2" t="s">
        <v>99</v>
      </c>
      <c r="C51" s="108" t="s">
        <v>113</v>
      </c>
    </row>
    <row r="52" spans="1:3" ht="38">
      <c r="A52" s="1" t="s">
        <v>100</v>
      </c>
      <c r="B52" s="2" t="s">
        <v>101</v>
      </c>
      <c r="C52" s="108" t="s">
        <v>113</v>
      </c>
    </row>
    <row r="53" spans="1:3" ht="38">
      <c r="A53" s="1" t="s">
        <v>102</v>
      </c>
      <c r="B53" s="2" t="s">
        <v>103</v>
      </c>
      <c r="C53" s="108" t="s">
        <v>113</v>
      </c>
    </row>
    <row r="54" spans="1:3">
      <c r="A54" s="1" t="s">
        <v>104</v>
      </c>
      <c r="B54" s="2" t="s">
        <v>105</v>
      </c>
      <c r="C54" s="108" t="s">
        <v>111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3582-D601-4FB0-8BEC-674B6EDABD5C}">
  <dimension ref="A1:AJ684"/>
  <sheetViews>
    <sheetView topLeftCell="A22" workbookViewId="0">
      <selection activeCell="C25" sqref="C25"/>
    </sheetView>
  </sheetViews>
  <sheetFormatPr defaultColWidth="8.26953125" defaultRowHeight="19"/>
  <cols>
    <col min="1" max="1" width="6.26953125" style="52" customWidth="1"/>
    <col min="2" max="2" width="23.7265625" style="19" customWidth="1"/>
    <col min="3" max="3" width="5.1796875" style="19" bestFit="1" customWidth="1"/>
    <col min="4" max="4" width="1.26953125" style="19" bestFit="1" customWidth="1"/>
    <col min="5" max="5" width="5.1796875" style="19" customWidth="1"/>
    <col min="6" max="6" width="2.1796875" style="19" customWidth="1"/>
    <col min="7" max="7" width="5.1796875" style="19" bestFit="1" customWidth="1"/>
    <col min="8" max="8" width="1.26953125" style="19" bestFit="1" customWidth="1"/>
    <col min="9" max="9" width="5.1796875" style="19" bestFit="1" customWidth="1"/>
    <col min="10" max="10" width="2.1796875" style="19" customWidth="1"/>
    <col min="11" max="11" width="5.1796875" style="19" bestFit="1" customWidth="1"/>
    <col min="12" max="12" width="1.26953125" style="19" bestFit="1" customWidth="1"/>
    <col min="13" max="13" width="5.81640625" style="19" customWidth="1"/>
    <col min="14" max="14" width="2.1796875" style="19" customWidth="1"/>
    <col min="15" max="15" width="5.1796875" style="19" customWidth="1"/>
    <col min="16" max="16" width="1.26953125" style="19" bestFit="1" customWidth="1"/>
    <col min="17" max="17" width="5.1796875" style="19" bestFit="1" customWidth="1"/>
    <col min="18" max="18" width="2.1796875" style="19" customWidth="1"/>
    <col min="19" max="19" width="5.1796875" style="19" bestFit="1" customWidth="1"/>
    <col min="20" max="20" width="1.26953125" style="19" bestFit="1" customWidth="1"/>
    <col min="21" max="21" width="5.453125" style="19" bestFit="1" customWidth="1"/>
    <col min="22" max="22" width="2.1796875" style="19" customWidth="1"/>
    <col min="23" max="23" width="5.1796875" style="19" bestFit="1" customWidth="1"/>
    <col min="24" max="24" width="1.26953125" style="19" bestFit="1" customWidth="1"/>
    <col min="25" max="25" width="5.1796875" style="19" bestFit="1" customWidth="1"/>
    <col min="26" max="26" width="2.1796875" style="19" customWidth="1"/>
    <col min="27" max="27" width="5.1796875" style="19" bestFit="1" customWidth="1"/>
    <col min="28" max="28" width="1.26953125" style="19" bestFit="1" customWidth="1"/>
    <col min="29" max="29" width="5.6328125" style="19" customWidth="1"/>
    <col min="30" max="30" width="2.1796875" style="19" customWidth="1"/>
    <col min="31" max="31" width="7" style="52" customWidth="1"/>
    <col min="32" max="33" width="7" style="19" customWidth="1"/>
    <col min="34" max="34" width="6.08984375" style="19" customWidth="1"/>
    <col min="35" max="35" width="7.6328125" style="19" customWidth="1"/>
    <col min="36" max="36" width="7.54296875" style="6" customWidth="1"/>
    <col min="37" max="277" width="8.26953125" style="19"/>
    <col min="278" max="278" width="6.26953125" style="19" customWidth="1"/>
    <col min="279" max="279" width="17.26953125" style="19" customWidth="1"/>
    <col min="280" max="280" width="12.453125" style="19" customWidth="1"/>
    <col min="281" max="281" width="11.81640625" style="19" customWidth="1"/>
    <col min="282" max="282" width="12.08984375" style="19" customWidth="1"/>
    <col min="283" max="283" width="12.36328125" style="19" customWidth="1"/>
    <col min="284" max="284" width="12.453125" style="19" customWidth="1"/>
    <col min="285" max="285" width="12.1796875" style="19" customWidth="1"/>
    <col min="286" max="286" width="12.08984375" style="19" customWidth="1"/>
    <col min="287" max="287" width="6.7265625" style="19" customWidth="1"/>
    <col min="288" max="288" width="7.1796875" style="19" customWidth="1"/>
    <col min="289" max="289" width="6.26953125" style="19" customWidth="1"/>
    <col min="290" max="290" width="6.08984375" style="19" customWidth="1"/>
    <col min="291" max="291" width="7.90625" style="19" customWidth="1"/>
    <col min="292" max="292" width="7.1796875" style="19" customWidth="1"/>
    <col min="293" max="533" width="8.26953125" style="19"/>
    <col min="534" max="534" width="6.26953125" style="19" customWidth="1"/>
    <col min="535" max="535" width="17.26953125" style="19" customWidth="1"/>
    <col min="536" max="536" width="12.453125" style="19" customWidth="1"/>
    <col min="537" max="537" width="11.81640625" style="19" customWidth="1"/>
    <col min="538" max="538" width="12.08984375" style="19" customWidth="1"/>
    <col min="539" max="539" width="12.36328125" style="19" customWidth="1"/>
    <col min="540" max="540" width="12.453125" style="19" customWidth="1"/>
    <col min="541" max="541" width="12.1796875" style="19" customWidth="1"/>
    <col min="542" max="542" width="12.08984375" style="19" customWidth="1"/>
    <col min="543" max="543" width="6.7265625" style="19" customWidth="1"/>
    <col min="544" max="544" width="7.1796875" style="19" customWidth="1"/>
    <col min="545" max="545" width="6.26953125" style="19" customWidth="1"/>
    <col min="546" max="546" width="6.08984375" style="19" customWidth="1"/>
    <col min="547" max="547" width="7.90625" style="19" customWidth="1"/>
    <col min="548" max="548" width="7.1796875" style="19" customWidth="1"/>
    <col min="549" max="789" width="8.26953125" style="19"/>
    <col min="790" max="790" width="6.26953125" style="19" customWidth="1"/>
    <col min="791" max="791" width="17.26953125" style="19" customWidth="1"/>
    <col min="792" max="792" width="12.453125" style="19" customWidth="1"/>
    <col min="793" max="793" width="11.81640625" style="19" customWidth="1"/>
    <col min="794" max="794" width="12.08984375" style="19" customWidth="1"/>
    <col min="795" max="795" width="12.36328125" style="19" customWidth="1"/>
    <col min="796" max="796" width="12.453125" style="19" customWidth="1"/>
    <col min="797" max="797" width="12.1796875" style="19" customWidth="1"/>
    <col min="798" max="798" width="12.08984375" style="19" customWidth="1"/>
    <col min="799" max="799" width="6.7265625" style="19" customWidth="1"/>
    <col min="800" max="800" width="7.1796875" style="19" customWidth="1"/>
    <col min="801" max="801" width="6.26953125" style="19" customWidth="1"/>
    <col min="802" max="802" width="6.08984375" style="19" customWidth="1"/>
    <col min="803" max="803" width="7.90625" style="19" customWidth="1"/>
    <col min="804" max="804" width="7.1796875" style="19" customWidth="1"/>
    <col min="805" max="1045" width="8.26953125" style="19"/>
    <col min="1046" max="1046" width="6.26953125" style="19" customWidth="1"/>
    <col min="1047" max="1047" width="17.26953125" style="19" customWidth="1"/>
    <col min="1048" max="1048" width="12.453125" style="19" customWidth="1"/>
    <col min="1049" max="1049" width="11.81640625" style="19" customWidth="1"/>
    <col min="1050" max="1050" width="12.08984375" style="19" customWidth="1"/>
    <col min="1051" max="1051" width="12.36328125" style="19" customWidth="1"/>
    <col min="1052" max="1052" width="12.453125" style="19" customWidth="1"/>
    <col min="1053" max="1053" width="12.1796875" style="19" customWidth="1"/>
    <col min="1054" max="1054" width="12.08984375" style="19" customWidth="1"/>
    <col min="1055" max="1055" width="6.7265625" style="19" customWidth="1"/>
    <col min="1056" max="1056" width="7.1796875" style="19" customWidth="1"/>
    <col min="1057" max="1057" width="6.26953125" style="19" customWidth="1"/>
    <col min="1058" max="1058" width="6.08984375" style="19" customWidth="1"/>
    <col min="1059" max="1059" width="7.90625" style="19" customWidth="1"/>
    <col min="1060" max="1060" width="7.1796875" style="19" customWidth="1"/>
    <col min="1061" max="1301" width="8.26953125" style="19"/>
    <col min="1302" max="1302" width="6.26953125" style="19" customWidth="1"/>
    <col min="1303" max="1303" width="17.26953125" style="19" customWidth="1"/>
    <col min="1304" max="1304" width="12.453125" style="19" customWidth="1"/>
    <col min="1305" max="1305" width="11.81640625" style="19" customWidth="1"/>
    <col min="1306" max="1306" width="12.08984375" style="19" customWidth="1"/>
    <col min="1307" max="1307" width="12.36328125" style="19" customWidth="1"/>
    <col min="1308" max="1308" width="12.453125" style="19" customWidth="1"/>
    <col min="1309" max="1309" width="12.1796875" style="19" customWidth="1"/>
    <col min="1310" max="1310" width="12.08984375" style="19" customWidth="1"/>
    <col min="1311" max="1311" width="6.7265625" style="19" customWidth="1"/>
    <col min="1312" max="1312" width="7.1796875" style="19" customWidth="1"/>
    <col min="1313" max="1313" width="6.26953125" style="19" customWidth="1"/>
    <col min="1314" max="1314" width="6.08984375" style="19" customWidth="1"/>
    <col min="1315" max="1315" width="7.90625" style="19" customWidth="1"/>
    <col min="1316" max="1316" width="7.1796875" style="19" customWidth="1"/>
    <col min="1317" max="1557" width="8.26953125" style="19"/>
    <col min="1558" max="1558" width="6.26953125" style="19" customWidth="1"/>
    <col min="1559" max="1559" width="17.26953125" style="19" customWidth="1"/>
    <col min="1560" max="1560" width="12.453125" style="19" customWidth="1"/>
    <col min="1561" max="1561" width="11.81640625" style="19" customWidth="1"/>
    <col min="1562" max="1562" width="12.08984375" style="19" customWidth="1"/>
    <col min="1563" max="1563" width="12.36328125" style="19" customWidth="1"/>
    <col min="1564" max="1564" width="12.453125" style="19" customWidth="1"/>
    <col min="1565" max="1565" width="12.1796875" style="19" customWidth="1"/>
    <col min="1566" max="1566" width="12.08984375" style="19" customWidth="1"/>
    <col min="1567" max="1567" width="6.7265625" style="19" customWidth="1"/>
    <col min="1568" max="1568" width="7.1796875" style="19" customWidth="1"/>
    <col min="1569" max="1569" width="6.26953125" style="19" customWidth="1"/>
    <col min="1570" max="1570" width="6.08984375" style="19" customWidth="1"/>
    <col min="1571" max="1571" width="7.90625" style="19" customWidth="1"/>
    <col min="1572" max="1572" width="7.1796875" style="19" customWidth="1"/>
    <col min="1573" max="1813" width="8.26953125" style="19"/>
    <col min="1814" max="1814" width="6.26953125" style="19" customWidth="1"/>
    <col min="1815" max="1815" width="17.26953125" style="19" customWidth="1"/>
    <col min="1816" max="1816" width="12.453125" style="19" customWidth="1"/>
    <col min="1817" max="1817" width="11.81640625" style="19" customWidth="1"/>
    <col min="1818" max="1818" width="12.08984375" style="19" customWidth="1"/>
    <col min="1819" max="1819" width="12.36328125" style="19" customWidth="1"/>
    <col min="1820" max="1820" width="12.453125" style="19" customWidth="1"/>
    <col min="1821" max="1821" width="12.1796875" style="19" customWidth="1"/>
    <col min="1822" max="1822" width="12.08984375" style="19" customWidth="1"/>
    <col min="1823" max="1823" width="6.7265625" style="19" customWidth="1"/>
    <col min="1824" max="1824" width="7.1796875" style="19" customWidth="1"/>
    <col min="1825" max="1825" width="6.26953125" style="19" customWidth="1"/>
    <col min="1826" max="1826" width="6.08984375" style="19" customWidth="1"/>
    <col min="1827" max="1827" width="7.90625" style="19" customWidth="1"/>
    <col min="1828" max="1828" width="7.1796875" style="19" customWidth="1"/>
    <col min="1829" max="2069" width="8.26953125" style="19"/>
    <col min="2070" max="2070" width="6.26953125" style="19" customWidth="1"/>
    <col min="2071" max="2071" width="17.26953125" style="19" customWidth="1"/>
    <col min="2072" max="2072" width="12.453125" style="19" customWidth="1"/>
    <col min="2073" max="2073" width="11.81640625" style="19" customWidth="1"/>
    <col min="2074" max="2074" width="12.08984375" style="19" customWidth="1"/>
    <col min="2075" max="2075" width="12.36328125" style="19" customWidth="1"/>
    <col min="2076" max="2076" width="12.453125" style="19" customWidth="1"/>
    <col min="2077" max="2077" width="12.1796875" style="19" customWidth="1"/>
    <col min="2078" max="2078" width="12.08984375" style="19" customWidth="1"/>
    <col min="2079" max="2079" width="6.7265625" style="19" customWidth="1"/>
    <col min="2080" max="2080" width="7.1796875" style="19" customWidth="1"/>
    <col min="2081" max="2081" width="6.26953125" style="19" customWidth="1"/>
    <col min="2082" max="2082" width="6.08984375" style="19" customWidth="1"/>
    <col min="2083" max="2083" width="7.90625" style="19" customWidth="1"/>
    <col min="2084" max="2084" width="7.1796875" style="19" customWidth="1"/>
    <col min="2085" max="2325" width="8.26953125" style="19"/>
    <col min="2326" max="2326" width="6.26953125" style="19" customWidth="1"/>
    <col min="2327" max="2327" width="17.26953125" style="19" customWidth="1"/>
    <col min="2328" max="2328" width="12.453125" style="19" customWidth="1"/>
    <col min="2329" max="2329" width="11.81640625" style="19" customWidth="1"/>
    <col min="2330" max="2330" width="12.08984375" style="19" customWidth="1"/>
    <col min="2331" max="2331" width="12.36328125" style="19" customWidth="1"/>
    <col min="2332" max="2332" width="12.453125" style="19" customWidth="1"/>
    <col min="2333" max="2333" width="12.1796875" style="19" customWidth="1"/>
    <col min="2334" max="2334" width="12.08984375" style="19" customWidth="1"/>
    <col min="2335" max="2335" width="6.7265625" style="19" customWidth="1"/>
    <col min="2336" max="2336" width="7.1796875" style="19" customWidth="1"/>
    <col min="2337" max="2337" width="6.26953125" style="19" customWidth="1"/>
    <col min="2338" max="2338" width="6.08984375" style="19" customWidth="1"/>
    <col min="2339" max="2339" width="7.90625" style="19" customWidth="1"/>
    <col min="2340" max="2340" width="7.1796875" style="19" customWidth="1"/>
    <col min="2341" max="2581" width="8.26953125" style="19"/>
    <col min="2582" max="2582" width="6.26953125" style="19" customWidth="1"/>
    <col min="2583" max="2583" width="17.26953125" style="19" customWidth="1"/>
    <col min="2584" max="2584" width="12.453125" style="19" customWidth="1"/>
    <col min="2585" max="2585" width="11.81640625" style="19" customWidth="1"/>
    <col min="2586" max="2586" width="12.08984375" style="19" customWidth="1"/>
    <col min="2587" max="2587" width="12.36328125" style="19" customWidth="1"/>
    <col min="2588" max="2588" width="12.453125" style="19" customWidth="1"/>
    <col min="2589" max="2589" width="12.1796875" style="19" customWidth="1"/>
    <col min="2590" max="2590" width="12.08984375" style="19" customWidth="1"/>
    <col min="2591" max="2591" width="6.7265625" style="19" customWidth="1"/>
    <col min="2592" max="2592" width="7.1796875" style="19" customWidth="1"/>
    <col min="2593" max="2593" width="6.26953125" style="19" customWidth="1"/>
    <col min="2594" max="2594" width="6.08984375" style="19" customWidth="1"/>
    <col min="2595" max="2595" width="7.90625" style="19" customWidth="1"/>
    <col min="2596" max="2596" width="7.1796875" style="19" customWidth="1"/>
    <col min="2597" max="2837" width="8.26953125" style="19"/>
    <col min="2838" max="2838" width="6.26953125" style="19" customWidth="1"/>
    <col min="2839" max="2839" width="17.26953125" style="19" customWidth="1"/>
    <col min="2840" max="2840" width="12.453125" style="19" customWidth="1"/>
    <col min="2841" max="2841" width="11.81640625" style="19" customWidth="1"/>
    <col min="2842" max="2842" width="12.08984375" style="19" customWidth="1"/>
    <col min="2843" max="2843" width="12.36328125" style="19" customWidth="1"/>
    <col min="2844" max="2844" width="12.453125" style="19" customWidth="1"/>
    <col min="2845" max="2845" width="12.1796875" style="19" customWidth="1"/>
    <col min="2846" max="2846" width="12.08984375" style="19" customWidth="1"/>
    <col min="2847" max="2847" width="6.7265625" style="19" customWidth="1"/>
    <col min="2848" max="2848" width="7.1796875" style="19" customWidth="1"/>
    <col min="2849" max="2849" width="6.26953125" style="19" customWidth="1"/>
    <col min="2850" max="2850" width="6.08984375" style="19" customWidth="1"/>
    <col min="2851" max="2851" width="7.90625" style="19" customWidth="1"/>
    <col min="2852" max="2852" width="7.1796875" style="19" customWidth="1"/>
    <col min="2853" max="3093" width="8.26953125" style="19"/>
    <col min="3094" max="3094" width="6.26953125" style="19" customWidth="1"/>
    <col min="3095" max="3095" width="17.26953125" style="19" customWidth="1"/>
    <col min="3096" max="3096" width="12.453125" style="19" customWidth="1"/>
    <col min="3097" max="3097" width="11.81640625" style="19" customWidth="1"/>
    <col min="3098" max="3098" width="12.08984375" style="19" customWidth="1"/>
    <col min="3099" max="3099" width="12.36328125" style="19" customWidth="1"/>
    <col min="3100" max="3100" width="12.453125" style="19" customWidth="1"/>
    <col min="3101" max="3101" width="12.1796875" style="19" customWidth="1"/>
    <col min="3102" max="3102" width="12.08984375" style="19" customWidth="1"/>
    <col min="3103" max="3103" width="6.7265625" style="19" customWidth="1"/>
    <col min="3104" max="3104" width="7.1796875" style="19" customWidth="1"/>
    <col min="3105" max="3105" width="6.26953125" style="19" customWidth="1"/>
    <col min="3106" max="3106" width="6.08984375" style="19" customWidth="1"/>
    <col min="3107" max="3107" width="7.90625" style="19" customWidth="1"/>
    <col min="3108" max="3108" width="7.1796875" style="19" customWidth="1"/>
    <col min="3109" max="3349" width="8.26953125" style="19"/>
    <col min="3350" max="3350" width="6.26953125" style="19" customWidth="1"/>
    <col min="3351" max="3351" width="17.26953125" style="19" customWidth="1"/>
    <col min="3352" max="3352" width="12.453125" style="19" customWidth="1"/>
    <col min="3353" max="3353" width="11.81640625" style="19" customWidth="1"/>
    <col min="3354" max="3354" width="12.08984375" style="19" customWidth="1"/>
    <col min="3355" max="3355" width="12.36328125" style="19" customWidth="1"/>
    <col min="3356" max="3356" width="12.453125" style="19" customWidth="1"/>
    <col min="3357" max="3357" width="12.1796875" style="19" customWidth="1"/>
    <col min="3358" max="3358" width="12.08984375" style="19" customWidth="1"/>
    <col min="3359" max="3359" width="6.7265625" style="19" customWidth="1"/>
    <col min="3360" max="3360" width="7.1796875" style="19" customWidth="1"/>
    <col min="3361" max="3361" width="6.26953125" style="19" customWidth="1"/>
    <col min="3362" max="3362" width="6.08984375" style="19" customWidth="1"/>
    <col min="3363" max="3363" width="7.90625" style="19" customWidth="1"/>
    <col min="3364" max="3364" width="7.1796875" style="19" customWidth="1"/>
    <col min="3365" max="3605" width="8.26953125" style="19"/>
    <col min="3606" max="3606" width="6.26953125" style="19" customWidth="1"/>
    <col min="3607" max="3607" width="17.26953125" style="19" customWidth="1"/>
    <col min="3608" max="3608" width="12.453125" style="19" customWidth="1"/>
    <col min="3609" max="3609" width="11.81640625" style="19" customWidth="1"/>
    <col min="3610" max="3610" width="12.08984375" style="19" customWidth="1"/>
    <col min="3611" max="3611" width="12.36328125" style="19" customWidth="1"/>
    <col min="3612" max="3612" width="12.453125" style="19" customWidth="1"/>
    <col min="3613" max="3613" width="12.1796875" style="19" customWidth="1"/>
    <col min="3614" max="3614" width="12.08984375" style="19" customWidth="1"/>
    <col min="3615" max="3615" width="6.7265625" style="19" customWidth="1"/>
    <col min="3616" max="3616" width="7.1796875" style="19" customWidth="1"/>
    <col min="3617" max="3617" width="6.26953125" style="19" customWidth="1"/>
    <col min="3618" max="3618" width="6.08984375" style="19" customWidth="1"/>
    <col min="3619" max="3619" width="7.90625" style="19" customWidth="1"/>
    <col min="3620" max="3620" width="7.1796875" style="19" customWidth="1"/>
    <col min="3621" max="3861" width="8.26953125" style="19"/>
    <col min="3862" max="3862" width="6.26953125" style="19" customWidth="1"/>
    <col min="3863" max="3863" width="17.26953125" style="19" customWidth="1"/>
    <col min="3864" max="3864" width="12.453125" style="19" customWidth="1"/>
    <col min="3865" max="3865" width="11.81640625" style="19" customWidth="1"/>
    <col min="3866" max="3866" width="12.08984375" style="19" customWidth="1"/>
    <col min="3867" max="3867" width="12.36328125" style="19" customWidth="1"/>
    <col min="3868" max="3868" width="12.453125" style="19" customWidth="1"/>
    <col min="3869" max="3869" width="12.1796875" style="19" customWidth="1"/>
    <col min="3870" max="3870" width="12.08984375" style="19" customWidth="1"/>
    <col min="3871" max="3871" width="6.7265625" style="19" customWidth="1"/>
    <col min="3872" max="3872" width="7.1796875" style="19" customWidth="1"/>
    <col min="3873" max="3873" width="6.26953125" style="19" customWidth="1"/>
    <col min="3874" max="3874" width="6.08984375" style="19" customWidth="1"/>
    <col min="3875" max="3875" width="7.90625" style="19" customWidth="1"/>
    <col min="3876" max="3876" width="7.1796875" style="19" customWidth="1"/>
    <col min="3877" max="4117" width="8.26953125" style="19"/>
    <col min="4118" max="4118" width="6.26953125" style="19" customWidth="1"/>
    <col min="4119" max="4119" width="17.26953125" style="19" customWidth="1"/>
    <col min="4120" max="4120" width="12.453125" style="19" customWidth="1"/>
    <col min="4121" max="4121" width="11.81640625" style="19" customWidth="1"/>
    <col min="4122" max="4122" width="12.08984375" style="19" customWidth="1"/>
    <col min="4123" max="4123" width="12.36328125" style="19" customWidth="1"/>
    <col min="4124" max="4124" width="12.453125" style="19" customWidth="1"/>
    <col min="4125" max="4125" width="12.1796875" style="19" customWidth="1"/>
    <col min="4126" max="4126" width="12.08984375" style="19" customWidth="1"/>
    <col min="4127" max="4127" width="6.7265625" style="19" customWidth="1"/>
    <col min="4128" max="4128" width="7.1796875" style="19" customWidth="1"/>
    <col min="4129" max="4129" width="6.26953125" style="19" customWidth="1"/>
    <col min="4130" max="4130" width="6.08984375" style="19" customWidth="1"/>
    <col min="4131" max="4131" width="7.90625" style="19" customWidth="1"/>
    <col min="4132" max="4132" width="7.1796875" style="19" customWidth="1"/>
    <col min="4133" max="4373" width="8.26953125" style="19"/>
    <col min="4374" max="4374" width="6.26953125" style="19" customWidth="1"/>
    <col min="4375" max="4375" width="17.26953125" style="19" customWidth="1"/>
    <col min="4376" max="4376" width="12.453125" style="19" customWidth="1"/>
    <col min="4377" max="4377" width="11.81640625" style="19" customWidth="1"/>
    <col min="4378" max="4378" width="12.08984375" style="19" customWidth="1"/>
    <col min="4379" max="4379" width="12.36328125" style="19" customWidth="1"/>
    <col min="4380" max="4380" width="12.453125" style="19" customWidth="1"/>
    <col min="4381" max="4381" width="12.1796875" style="19" customWidth="1"/>
    <col min="4382" max="4382" width="12.08984375" style="19" customWidth="1"/>
    <col min="4383" max="4383" width="6.7265625" style="19" customWidth="1"/>
    <col min="4384" max="4384" width="7.1796875" style="19" customWidth="1"/>
    <col min="4385" max="4385" width="6.26953125" style="19" customWidth="1"/>
    <col min="4386" max="4386" width="6.08984375" style="19" customWidth="1"/>
    <col min="4387" max="4387" width="7.90625" style="19" customWidth="1"/>
    <col min="4388" max="4388" width="7.1796875" style="19" customWidth="1"/>
    <col min="4389" max="4629" width="8.26953125" style="19"/>
    <col min="4630" max="4630" width="6.26953125" style="19" customWidth="1"/>
    <col min="4631" max="4631" width="17.26953125" style="19" customWidth="1"/>
    <col min="4632" max="4632" width="12.453125" style="19" customWidth="1"/>
    <col min="4633" max="4633" width="11.81640625" style="19" customWidth="1"/>
    <col min="4634" max="4634" width="12.08984375" style="19" customWidth="1"/>
    <col min="4635" max="4635" width="12.36328125" style="19" customWidth="1"/>
    <col min="4636" max="4636" width="12.453125" style="19" customWidth="1"/>
    <col min="4637" max="4637" width="12.1796875" style="19" customWidth="1"/>
    <col min="4638" max="4638" width="12.08984375" style="19" customWidth="1"/>
    <col min="4639" max="4639" width="6.7265625" style="19" customWidth="1"/>
    <col min="4640" max="4640" width="7.1796875" style="19" customWidth="1"/>
    <col min="4641" max="4641" width="6.26953125" style="19" customWidth="1"/>
    <col min="4642" max="4642" width="6.08984375" style="19" customWidth="1"/>
    <col min="4643" max="4643" width="7.90625" style="19" customWidth="1"/>
    <col min="4644" max="4644" width="7.1796875" style="19" customWidth="1"/>
    <col min="4645" max="4885" width="8.26953125" style="19"/>
    <col min="4886" max="4886" width="6.26953125" style="19" customWidth="1"/>
    <col min="4887" max="4887" width="17.26953125" style="19" customWidth="1"/>
    <col min="4888" max="4888" width="12.453125" style="19" customWidth="1"/>
    <col min="4889" max="4889" width="11.81640625" style="19" customWidth="1"/>
    <col min="4890" max="4890" width="12.08984375" style="19" customWidth="1"/>
    <col min="4891" max="4891" width="12.36328125" style="19" customWidth="1"/>
    <col min="4892" max="4892" width="12.453125" style="19" customWidth="1"/>
    <col min="4893" max="4893" width="12.1796875" style="19" customWidth="1"/>
    <col min="4894" max="4894" width="12.08984375" style="19" customWidth="1"/>
    <col min="4895" max="4895" width="6.7265625" style="19" customWidth="1"/>
    <col min="4896" max="4896" width="7.1796875" style="19" customWidth="1"/>
    <col min="4897" max="4897" width="6.26953125" style="19" customWidth="1"/>
    <col min="4898" max="4898" width="6.08984375" style="19" customWidth="1"/>
    <col min="4899" max="4899" width="7.90625" style="19" customWidth="1"/>
    <col min="4900" max="4900" width="7.1796875" style="19" customWidth="1"/>
    <col min="4901" max="5141" width="8.26953125" style="19"/>
    <col min="5142" max="5142" width="6.26953125" style="19" customWidth="1"/>
    <col min="5143" max="5143" width="17.26953125" style="19" customWidth="1"/>
    <col min="5144" max="5144" width="12.453125" style="19" customWidth="1"/>
    <col min="5145" max="5145" width="11.81640625" style="19" customWidth="1"/>
    <col min="5146" max="5146" width="12.08984375" style="19" customWidth="1"/>
    <col min="5147" max="5147" width="12.36328125" style="19" customWidth="1"/>
    <col min="5148" max="5148" width="12.453125" style="19" customWidth="1"/>
    <col min="5149" max="5149" width="12.1796875" style="19" customWidth="1"/>
    <col min="5150" max="5150" width="12.08984375" style="19" customWidth="1"/>
    <col min="5151" max="5151" width="6.7265625" style="19" customWidth="1"/>
    <col min="5152" max="5152" width="7.1796875" style="19" customWidth="1"/>
    <col min="5153" max="5153" width="6.26953125" style="19" customWidth="1"/>
    <col min="5154" max="5154" width="6.08984375" style="19" customWidth="1"/>
    <col min="5155" max="5155" width="7.90625" style="19" customWidth="1"/>
    <col min="5156" max="5156" width="7.1796875" style="19" customWidth="1"/>
    <col min="5157" max="5397" width="8.26953125" style="19"/>
    <col min="5398" max="5398" width="6.26953125" style="19" customWidth="1"/>
    <col min="5399" max="5399" width="17.26953125" style="19" customWidth="1"/>
    <col min="5400" max="5400" width="12.453125" style="19" customWidth="1"/>
    <col min="5401" max="5401" width="11.81640625" style="19" customWidth="1"/>
    <col min="5402" max="5402" width="12.08984375" style="19" customWidth="1"/>
    <col min="5403" max="5403" width="12.36328125" style="19" customWidth="1"/>
    <col min="5404" max="5404" width="12.453125" style="19" customWidth="1"/>
    <col min="5405" max="5405" width="12.1796875" style="19" customWidth="1"/>
    <col min="5406" max="5406" width="12.08984375" style="19" customWidth="1"/>
    <col min="5407" max="5407" width="6.7265625" style="19" customWidth="1"/>
    <col min="5408" max="5408" width="7.1796875" style="19" customWidth="1"/>
    <col min="5409" max="5409" width="6.26953125" style="19" customWidth="1"/>
    <col min="5410" max="5410" width="6.08984375" style="19" customWidth="1"/>
    <col min="5411" max="5411" width="7.90625" style="19" customWidth="1"/>
    <col min="5412" max="5412" width="7.1796875" style="19" customWidth="1"/>
    <col min="5413" max="5653" width="8.26953125" style="19"/>
    <col min="5654" max="5654" width="6.26953125" style="19" customWidth="1"/>
    <col min="5655" max="5655" width="17.26953125" style="19" customWidth="1"/>
    <col min="5656" max="5656" width="12.453125" style="19" customWidth="1"/>
    <col min="5657" max="5657" width="11.81640625" style="19" customWidth="1"/>
    <col min="5658" max="5658" width="12.08984375" style="19" customWidth="1"/>
    <col min="5659" max="5659" width="12.36328125" style="19" customWidth="1"/>
    <col min="5660" max="5660" width="12.453125" style="19" customWidth="1"/>
    <col min="5661" max="5661" width="12.1796875" style="19" customWidth="1"/>
    <col min="5662" max="5662" width="12.08984375" style="19" customWidth="1"/>
    <col min="5663" max="5663" width="6.7265625" style="19" customWidth="1"/>
    <col min="5664" max="5664" width="7.1796875" style="19" customWidth="1"/>
    <col min="5665" max="5665" width="6.26953125" style="19" customWidth="1"/>
    <col min="5666" max="5666" width="6.08984375" style="19" customWidth="1"/>
    <col min="5667" max="5667" width="7.90625" style="19" customWidth="1"/>
    <col min="5668" max="5668" width="7.1796875" style="19" customWidth="1"/>
    <col min="5669" max="5909" width="8.26953125" style="19"/>
    <col min="5910" max="5910" width="6.26953125" style="19" customWidth="1"/>
    <col min="5911" max="5911" width="17.26953125" style="19" customWidth="1"/>
    <col min="5912" max="5912" width="12.453125" style="19" customWidth="1"/>
    <col min="5913" max="5913" width="11.81640625" style="19" customWidth="1"/>
    <col min="5914" max="5914" width="12.08984375" style="19" customWidth="1"/>
    <col min="5915" max="5915" width="12.36328125" style="19" customWidth="1"/>
    <col min="5916" max="5916" width="12.453125" style="19" customWidth="1"/>
    <col min="5917" max="5917" width="12.1796875" style="19" customWidth="1"/>
    <col min="5918" max="5918" width="12.08984375" style="19" customWidth="1"/>
    <col min="5919" max="5919" width="6.7265625" style="19" customWidth="1"/>
    <col min="5920" max="5920" width="7.1796875" style="19" customWidth="1"/>
    <col min="5921" max="5921" width="6.26953125" style="19" customWidth="1"/>
    <col min="5922" max="5922" width="6.08984375" style="19" customWidth="1"/>
    <col min="5923" max="5923" width="7.90625" style="19" customWidth="1"/>
    <col min="5924" max="5924" width="7.1796875" style="19" customWidth="1"/>
    <col min="5925" max="6165" width="8.26953125" style="19"/>
    <col min="6166" max="6166" width="6.26953125" style="19" customWidth="1"/>
    <col min="6167" max="6167" width="17.26953125" style="19" customWidth="1"/>
    <col min="6168" max="6168" width="12.453125" style="19" customWidth="1"/>
    <col min="6169" max="6169" width="11.81640625" style="19" customWidth="1"/>
    <col min="6170" max="6170" width="12.08984375" style="19" customWidth="1"/>
    <col min="6171" max="6171" width="12.36328125" style="19" customWidth="1"/>
    <col min="6172" max="6172" width="12.453125" style="19" customWidth="1"/>
    <col min="6173" max="6173" width="12.1796875" style="19" customWidth="1"/>
    <col min="6174" max="6174" width="12.08984375" style="19" customWidth="1"/>
    <col min="6175" max="6175" width="6.7265625" style="19" customWidth="1"/>
    <col min="6176" max="6176" width="7.1796875" style="19" customWidth="1"/>
    <col min="6177" max="6177" width="6.26953125" style="19" customWidth="1"/>
    <col min="6178" max="6178" width="6.08984375" style="19" customWidth="1"/>
    <col min="6179" max="6179" width="7.90625" style="19" customWidth="1"/>
    <col min="6180" max="6180" width="7.1796875" style="19" customWidth="1"/>
    <col min="6181" max="6421" width="8.26953125" style="19"/>
    <col min="6422" max="6422" width="6.26953125" style="19" customWidth="1"/>
    <col min="6423" max="6423" width="17.26953125" style="19" customWidth="1"/>
    <col min="6424" max="6424" width="12.453125" style="19" customWidth="1"/>
    <col min="6425" max="6425" width="11.81640625" style="19" customWidth="1"/>
    <col min="6426" max="6426" width="12.08984375" style="19" customWidth="1"/>
    <col min="6427" max="6427" width="12.36328125" style="19" customWidth="1"/>
    <col min="6428" max="6428" width="12.453125" style="19" customWidth="1"/>
    <col min="6429" max="6429" width="12.1796875" style="19" customWidth="1"/>
    <col min="6430" max="6430" width="12.08984375" style="19" customWidth="1"/>
    <col min="6431" max="6431" width="6.7265625" style="19" customWidth="1"/>
    <col min="6432" max="6432" width="7.1796875" style="19" customWidth="1"/>
    <col min="6433" max="6433" width="6.26953125" style="19" customWidth="1"/>
    <col min="6434" max="6434" width="6.08984375" style="19" customWidth="1"/>
    <col min="6435" max="6435" width="7.90625" style="19" customWidth="1"/>
    <col min="6436" max="6436" width="7.1796875" style="19" customWidth="1"/>
    <col min="6437" max="6677" width="8.26953125" style="19"/>
    <col min="6678" max="6678" width="6.26953125" style="19" customWidth="1"/>
    <col min="6679" max="6679" width="17.26953125" style="19" customWidth="1"/>
    <col min="6680" max="6680" width="12.453125" style="19" customWidth="1"/>
    <col min="6681" max="6681" width="11.81640625" style="19" customWidth="1"/>
    <col min="6682" max="6682" width="12.08984375" style="19" customWidth="1"/>
    <col min="6683" max="6683" width="12.36328125" style="19" customWidth="1"/>
    <col min="6684" max="6684" width="12.453125" style="19" customWidth="1"/>
    <col min="6685" max="6685" width="12.1796875" style="19" customWidth="1"/>
    <col min="6686" max="6686" width="12.08984375" style="19" customWidth="1"/>
    <col min="6687" max="6687" width="6.7265625" style="19" customWidth="1"/>
    <col min="6688" max="6688" width="7.1796875" style="19" customWidth="1"/>
    <col min="6689" max="6689" width="6.26953125" style="19" customWidth="1"/>
    <col min="6690" max="6690" width="6.08984375" style="19" customWidth="1"/>
    <col min="6691" max="6691" width="7.90625" style="19" customWidth="1"/>
    <col min="6692" max="6692" width="7.1796875" style="19" customWidth="1"/>
    <col min="6693" max="6933" width="8.26953125" style="19"/>
    <col min="6934" max="6934" width="6.26953125" style="19" customWidth="1"/>
    <col min="6935" max="6935" width="17.26953125" style="19" customWidth="1"/>
    <col min="6936" max="6936" width="12.453125" style="19" customWidth="1"/>
    <col min="6937" max="6937" width="11.81640625" style="19" customWidth="1"/>
    <col min="6938" max="6938" width="12.08984375" style="19" customWidth="1"/>
    <col min="6939" max="6939" width="12.36328125" style="19" customWidth="1"/>
    <col min="6940" max="6940" width="12.453125" style="19" customWidth="1"/>
    <col min="6941" max="6941" width="12.1796875" style="19" customWidth="1"/>
    <col min="6942" max="6942" width="12.08984375" style="19" customWidth="1"/>
    <col min="6943" max="6943" width="6.7265625" style="19" customWidth="1"/>
    <col min="6944" max="6944" width="7.1796875" style="19" customWidth="1"/>
    <col min="6945" max="6945" width="6.26953125" style="19" customWidth="1"/>
    <col min="6946" max="6946" width="6.08984375" style="19" customWidth="1"/>
    <col min="6947" max="6947" width="7.90625" style="19" customWidth="1"/>
    <col min="6948" max="6948" width="7.1796875" style="19" customWidth="1"/>
    <col min="6949" max="7189" width="8.26953125" style="19"/>
    <col min="7190" max="7190" width="6.26953125" style="19" customWidth="1"/>
    <col min="7191" max="7191" width="17.26953125" style="19" customWidth="1"/>
    <col min="7192" max="7192" width="12.453125" style="19" customWidth="1"/>
    <col min="7193" max="7193" width="11.81640625" style="19" customWidth="1"/>
    <col min="7194" max="7194" width="12.08984375" style="19" customWidth="1"/>
    <col min="7195" max="7195" width="12.36328125" style="19" customWidth="1"/>
    <col min="7196" max="7196" width="12.453125" style="19" customWidth="1"/>
    <col min="7197" max="7197" width="12.1796875" style="19" customWidth="1"/>
    <col min="7198" max="7198" width="12.08984375" style="19" customWidth="1"/>
    <col min="7199" max="7199" width="6.7265625" style="19" customWidth="1"/>
    <col min="7200" max="7200" width="7.1796875" style="19" customWidth="1"/>
    <col min="7201" max="7201" width="6.26953125" style="19" customWidth="1"/>
    <col min="7202" max="7202" width="6.08984375" style="19" customWidth="1"/>
    <col min="7203" max="7203" width="7.90625" style="19" customWidth="1"/>
    <col min="7204" max="7204" width="7.1796875" style="19" customWidth="1"/>
    <col min="7205" max="7445" width="8.26953125" style="19"/>
    <col min="7446" max="7446" width="6.26953125" style="19" customWidth="1"/>
    <col min="7447" max="7447" width="17.26953125" style="19" customWidth="1"/>
    <col min="7448" max="7448" width="12.453125" style="19" customWidth="1"/>
    <col min="7449" max="7449" width="11.81640625" style="19" customWidth="1"/>
    <col min="7450" max="7450" width="12.08984375" style="19" customWidth="1"/>
    <col min="7451" max="7451" width="12.36328125" style="19" customWidth="1"/>
    <col min="7452" max="7452" width="12.453125" style="19" customWidth="1"/>
    <col min="7453" max="7453" width="12.1796875" style="19" customWidth="1"/>
    <col min="7454" max="7454" width="12.08984375" style="19" customWidth="1"/>
    <col min="7455" max="7455" width="6.7265625" style="19" customWidth="1"/>
    <col min="7456" max="7456" width="7.1796875" style="19" customWidth="1"/>
    <col min="7457" max="7457" width="6.26953125" style="19" customWidth="1"/>
    <col min="7458" max="7458" width="6.08984375" style="19" customWidth="1"/>
    <col min="7459" max="7459" width="7.90625" style="19" customWidth="1"/>
    <col min="7460" max="7460" width="7.1796875" style="19" customWidth="1"/>
    <col min="7461" max="7701" width="8.26953125" style="19"/>
    <col min="7702" max="7702" width="6.26953125" style="19" customWidth="1"/>
    <col min="7703" max="7703" width="17.26953125" style="19" customWidth="1"/>
    <col min="7704" max="7704" width="12.453125" style="19" customWidth="1"/>
    <col min="7705" max="7705" width="11.81640625" style="19" customWidth="1"/>
    <col min="7706" max="7706" width="12.08984375" style="19" customWidth="1"/>
    <col min="7707" max="7707" width="12.36328125" style="19" customWidth="1"/>
    <col min="7708" max="7708" width="12.453125" style="19" customWidth="1"/>
    <col min="7709" max="7709" width="12.1796875" style="19" customWidth="1"/>
    <col min="7710" max="7710" width="12.08984375" style="19" customWidth="1"/>
    <col min="7711" max="7711" width="6.7265625" style="19" customWidth="1"/>
    <col min="7712" max="7712" width="7.1796875" style="19" customWidth="1"/>
    <col min="7713" max="7713" width="6.26953125" style="19" customWidth="1"/>
    <col min="7714" max="7714" width="6.08984375" style="19" customWidth="1"/>
    <col min="7715" max="7715" width="7.90625" style="19" customWidth="1"/>
    <col min="7716" max="7716" width="7.1796875" style="19" customWidth="1"/>
    <col min="7717" max="7957" width="8.26953125" style="19"/>
    <col min="7958" max="7958" width="6.26953125" style="19" customWidth="1"/>
    <col min="7959" max="7959" width="17.26953125" style="19" customWidth="1"/>
    <col min="7960" max="7960" width="12.453125" style="19" customWidth="1"/>
    <col min="7961" max="7961" width="11.81640625" style="19" customWidth="1"/>
    <col min="7962" max="7962" width="12.08984375" style="19" customWidth="1"/>
    <col min="7963" max="7963" width="12.36328125" style="19" customWidth="1"/>
    <col min="7964" max="7964" width="12.453125" style="19" customWidth="1"/>
    <col min="7965" max="7965" width="12.1796875" style="19" customWidth="1"/>
    <col min="7966" max="7966" width="12.08984375" style="19" customWidth="1"/>
    <col min="7967" max="7967" width="6.7265625" style="19" customWidth="1"/>
    <col min="7968" max="7968" width="7.1796875" style="19" customWidth="1"/>
    <col min="7969" max="7969" width="6.26953125" style="19" customWidth="1"/>
    <col min="7970" max="7970" width="6.08984375" style="19" customWidth="1"/>
    <col min="7971" max="7971" width="7.90625" style="19" customWidth="1"/>
    <col min="7972" max="7972" width="7.1796875" style="19" customWidth="1"/>
    <col min="7973" max="8213" width="8.26953125" style="19"/>
    <col min="8214" max="8214" width="6.26953125" style="19" customWidth="1"/>
    <col min="8215" max="8215" width="17.26953125" style="19" customWidth="1"/>
    <col min="8216" max="8216" width="12.453125" style="19" customWidth="1"/>
    <col min="8217" max="8217" width="11.81640625" style="19" customWidth="1"/>
    <col min="8218" max="8218" width="12.08984375" style="19" customWidth="1"/>
    <col min="8219" max="8219" width="12.36328125" style="19" customWidth="1"/>
    <col min="8220" max="8220" width="12.453125" style="19" customWidth="1"/>
    <col min="8221" max="8221" width="12.1796875" style="19" customWidth="1"/>
    <col min="8222" max="8222" width="12.08984375" style="19" customWidth="1"/>
    <col min="8223" max="8223" width="6.7265625" style="19" customWidth="1"/>
    <col min="8224" max="8224" width="7.1796875" style="19" customWidth="1"/>
    <col min="8225" max="8225" width="6.26953125" style="19" customWidth="1"/>
    <col min="8226" max="8226" width="6.08984375" style="19" customWidth="1"/>
    <col min="8227" max="8227" width="7.90625" style="19" customWidth="1"/>
    <col min="8228" max="8228" width="7.1796875" style="19" customWidth="1"/>
    <col min="8229" max="8469" width="8.26953125" style="19"/>
    <col min="8470" max="8470" width="6.26953125" style="19" customWidth="1"/>
    <col min="8471" max="8471" width="17.26953125" style="19" customWidth="1"/>
    <col min="8472" max="8472" width="12.453125" style="19" customWidth="1"/>
    <col min="8473" max="8473" width="11.81640625" style="19" customWidth="1"/>
    <col min="8474" max="8474" width="12.08984375" style="19" customWidth="1"/>
    <col min="8475" max="8475" width="12.36328125" style="19" customWidth="1"/>
    <col min="8476" max="8476" width="12.453125" style="19" customWidth="1"/>
    <col min="8477" max="8477" width="12.1796875" style="19" customWidth="1"/>
    <col min="8478" max="8478" width="12.08984375" style="19" customWidth="1"/>
    <col min="8479" max="8479" width="6.7265625" style="19" customWidth="1"/>
    <col min="8480" max="8480" width="7.1796875" style="19" customWidth="1"/>
    <col min="8481" max="8481" width="6.26953125" style="19" customWidth="1"/>
    <col min="8482" max="8482" width="6.08984375" style="19" customWidth="1"/>
    <col min="8483" max="8483" width="7.90625" style="19" customWidth="1"/>
    <col min="8484" max="8484" width="7.1796875" style="19" customWidth="1"/>
    <col min="8485" max="8725" width="8.26953125" style="19"/>
    <col min="8726" max="8726" width="6.26953125" style="19" customWidth="1"/>
    <col min="8727" max="8727" width="17.26953125" style="19" customWidth="1"/>
    <col min="8728" max="8728" width="12.453125" style="19" customWidth="1"/>
    <col min="8729" max="8729" width="11.81640625" style="19" customWidth="1"/>
    <col min="8730" max="8730" width="12.08984375" style="19" customWidth="1"/>
    <col min="8731" max="8731" width="12.36328125" style="19" customWidth="1"/>
    <col min="8732" max="8732" width="12.453125" style="19" customWidth="1"/>
    <col min="8733" max="8733" width="12.1796875" style="19" customWidth="1"/>
    <col min="8734" max="8734" width="12.08984375" style="19" customWidth="1"/>
    <col min="8735" max="8735" width="6.7265625" style="19" customWidth="1"/>
    <col min="8736" max="8736" width="7.1796875" style="19" customWidth="1"/>
    <col min="8737" max="8737" width="6.26953125" style="19" customWidth="1"/>
    <col min="8738" max="8738" width="6.08984375" style="19" customWidth="1"/>
    <col min="8739" max="8739" width="7.90625" style="19" customWidth="1"/>
    <col min="8740" max="8740" width="7.1796875" style="19" customWidth="1"/>
    <col min="8741" max="8981" width="8.26953125" style="19"/>
    <col min="8982" max="8982" width="6.26953125" style="19" customWidth="1"/>
    <col min="8983" max="8983" width="17.26953125" style="19" customWidth="1"/>
    <col min="8984" max="8984" width="12.453125" style="19" customWidth="1"/>
    <col min="8985" max="8985" width="11.81640625" style="19" customWidth="1"/>
    <col min="8986" max="8986" width="12.08984375" style="19" customWidth="1"/>
    <col min="8987" max="8987" width="12.36328125" style="19" customWidth="1"/>
    <col min="8988" max="8988" width="12.453125" style="19" customWidth="1"/>
    <col min="8989" max="8989" width="12.1796875" style="19" customWidth="1"/>
    <col min="8990" max="8990" width="12.08984375" style="19" customWidth="1"/>
    <col min="8991" max="8991" width="6.7265625" style="19" customWidth="1"/>
    <col min="8992" max="8992" width="7.1796875" style="19" customWidth="1"/>
    <col min="8993" max="8993" width="6.26953125" style="19" customWidth="1"/>
    <col min="8994" max="8994" width="6.08984375" style="19" customWidth="1"/>
    <col min="8995" max="8995" width="7.90625" style="19" customWidth="1"/>
    <col min="8996" max="8996" width="7.1796875" style="19" customWidth="1"/>
    <col min="8997" max="9237" width="8.26953125" style="19"/>
    <col min="9238" max="9238" width="6.26953125" style="19" customWidth="1"/>
    <col min="9239" max="9239" width="17.26953125" style="19" customWidth="1"/>
    <col min="9240" max="9240" width="12.453125" style="19" customWidth="1"/>
    <col min="9241" max="9241" width="11.81640625" style="19" customWidth="1"/>
    <col min="9242" max="9242" width="12.08984375" style="19" customWidth="1"/>
    <col min="9243" max="9243" width="12.36328125" style="19" customWidth="1"/>
    <col min="9244" max="9244" width="12.453125" style="19" customWidth="1"/>
    <col min="9245" max="9245" width="12.1796875" style="19" customWidth="1"/>
    <col min="9246" max="9246" width="12.08984375" style="19" customWidth="1"/>
    <col min="9247" max="9247" width="6.7265625" style="19" customWidth="1"/>
    <col min="9248" max="9248" width="7.1796875" style="19" customWidth="1"/>
    <col min="9249" max="9249" width="6.26953125" style="19" customWidth="1"/>
    <col min="9250" max="9250" width="6.08984375" style="19" customWidth="1"/>
    <col min="9251" max="9251" width="7.90625" style="19" customWidth="1"/>
    <col min="9252" max="9252" width="7.1796875" style="19" customWidth="1"/>
    <col min="9253" max="9493" width="8.26953125" style="19"/>
    <col min="9494" max="9494" width="6.26953125" style="19" customWidth="1"/>
    <col min="9495" max="9495" width="17.26953125" style="19" customWidth="1"/>
    <col min="9496" max="9496" width="12.453125" style="19" customWidth="1"/>
    <col min="9497" max="9497" width="11.81640625" style="19" customWidth="1"/>
    <col min="9498" max="9498" width="12.08984375" style="19" customWidth="1"/>
    <col min="9499" max="9499" width="12.36328125" style="19" customWidth="1"/>
    <col min="9500" max="9500" width="12.453125" style="19" customWidth="1"/>
    <col min="9501" max="9501" width="12.1796875" style="19" customWidth="1"/>
    <col min="9502" max="9502" width="12.08984375" style="19" customWidth="1"/>
    <col min="9503" max="9503" width="6.7265625" style="19" customWidth="1"/>
    <col min="9504" max="9504" width="7.1796875" style="19" customWidth="1"/>
    <col min="9505" max="9505" width="6.26953125" style="19" customWidth="1"/>
    <col min="9506" max="9506" width="6.08984375" style="19" customWidth="1"/>
    <col min="9507" max="9507" width="7.90625" style="19" customWidth="1"/>
    <col min="9508" max="9508" width="7.1796875" style="19" customWidth="1"/>
    <col min="9509" max="9749" width="8.26953125" style="19"/>
    <col min="9750" max="9750" width="6.26953125" style="19" customWidth="1"/>
    <col min="9751" max="9751" width="17.26953125" style="19" customWidth="1"/>
    <col min="9752" max="9752" width="12.453125" style="19" customWidth="1"/>
    <col min="9753" max="9753" width="11.81640625" style="19" customWidth="1"/>
    <col min="9754" max="9754" width="12.08984375" style="19" customWidth="1"/>
    <col min="9755" max="9755" width="12.36328125" style="19" customWidth="1"/>
    <col min="9756" max="9756" width="12.453125" style="19" customWidth="1"/>
    <col min="9757" max="9757" width="12.1796875" style="19" customWidth="1"/>
    <col min="9758" max="9758" width="12.08984375" style="19" customWidth="1"/>
    <col min="9759" max="9759" width="6.7265625" style="19" customWidth="1"/>
    <col min="9760" max="9760" width="7.1796875" style="19" customWidth="1"/>
    <col min="9761" max="9761" width="6.26953125" style="19" customWidth="1"/>
    <col min="9762" max="9762" width="6.08984375" style="19" customWidth="1"/>
    <col min="9763" max="9763" width="7.90625" style="19" customWidth="1"/>
    <col min="9764" max="9764" width="7.1796875" style="19" customWidth="1"/>
    <col min="9765" max="10005" width="8.26953125" style="19"/>
    <col min="10006" max="10006" width="6.26953125" style="19" customWidth="1"/>
    <col min="10007" max="10007" width="17.26953125" style="19" customWidth="1"/>
    <col min="10008" max="10008" width="12.453125" style="19" customWidth="1"/>
    <col min="10009" max="10009" width="11.81640625" style="19" customWidth="1"/>
    <col min="10010" max="10010" width="12.08984375" style="19" customWidth="1"/>
    <col min="10011" max="10011" width="12.36328125" style="19" customWidth="1"/>
    <col min="10012" max="10012" width="12.453125" style="19" customWidth="1"/>
    <col min="10013" max="10013" width="12.1796875" style="19" customWidth="1"/>
    <col min="10014" max="10014" width="12.08984375" style="19" customWidth="1"/>
    <col min="10015" max="10015" width="6.7265625" style="19" customWidth="1"/>
    <col min="10016" max="10016" width="7.1796875" style="19" customWidth="1"/>
    <col min="10017" max="10017" width="6.26953125" style="19" customWidth="1"/>
    <col min="10018" max="10018" width="6.08984375" style="19" customWidth="1"/>
    <col min="10019" max="10019" width="7.90625" style="19" customWidth="1"/>
    <col min="10020" max="10020" width="7.1796875" style="19" customWidth="1"/>
    <col min="10021" max="10261" width="8.26953125" style="19"/>
    <col min="10262" max="10262" width="6.26953125" style="19" customWidth="1"/>
    <col min="10263" max="10263" width="17.26953125" style="19" customWidth="1"/>
    <col min="10264" max="10264" width="12.453125" style="19" customWidth="1"/>
    <col min="10265" max="10265" width="11.81640625" style="19" customWidth="1"/>
    <col min="10266" max="10266" width="12.08984375" style="19" customWidth="1"/>
    <col min="10267" max="10267" width="12.36328125" style="19" customWidth="1"/>
    <col min="10268" max="10268" width="12.453125" style="19" customWidth="1"/>
    <col min="10269" max="10269" width="12.1796875" style="19" customWidth="1"/>
    <col min="10270" max="10270" width="12.08984375" style="19" customWidth="1"/>
    <col min="10271" max="10271" width="6.7265625" style="19" customWidth="1"/>
    <col min="10272" max="10272" width="7.1796875" style="19" customWidth="1"/>
    <col min="10273" max="10273" width="6.26953125" style="19" customWidth="1"/>
    <col min="10274" max="10274" width="6.08984375" style="19" customWidth="1"/>
    <col min="10275" max="10275" width="7.90625" style="19" customWidth="1"/>
    <col min="10276" max="10276" width="7.1796875" style="19" customWidth="1"/>
    <col min="10277" max="10517" width="8.26953125" style="19"/>
    <col min="10518" max="10518" width="6.26953125" style="19" customWidth="1"/>
    <col min="10519" max="10519" width="17.26953125" style="19" customWidth="1"/>
    <col min="10520" max="10520" width="12.453125" style="19" customWidth="1"/>
    <col min="10521" max="10521" width="11.81640625" style="19" customWidth="1"/>
    <col min="10522" max="10522" width="12.08984375" style="19" customWidth="1"/>
    <col min="10523" max="10523" width="12.36328125" style="19" customWidth="1"/>
    <col min="10524" max="10524" width="12.453125" style="19" customWidth="1"/>
    <col min="10525" max="10525" width="12.1796875" style="19" customWidth="1"/>
    <col min="10526" max="10526" width="12.08984375" style="19" customWidth="1"/>
    <col min="10527" max="10527" width="6.7265625" style="19" customWidth="1"/>
    <col min="10528" max="10528" width="7.1796875" style="19" customWidth="1"/>
    <col min="10529" max="10529" width="6.26953125" style="19" customWidth="1"/>
    <col min="10530" max="10530" width="6.08984375" style="19" customWidth="1"/>
    <col min="10531" max="10531" width="7.90625" style="19" customWidth="1"/>
    <col min="10532" max="10532" width="7.1796875" style="19" customWidth="1"/>
    <col min="10533" max="10773" width="8.26953125" style="19"/>
    <col min="10774" max="10774" width="6.26953125" style="19" customWidth="1"/>
    <col min="10775" max="10775" width="17.26953125" style="19" customWidth="1"/>
    <col min="10776" max="10776" width="12.453125" style="19" customWidth="1"/>
    <col min="10777" max="10777" width="11.81640625" style="19" customWidth="1"/>
    <col min="10778" max="10778" width="12.08984375" style="19" customWidth="1"/>
    <col min="10779" max="10779" width="12.36328125" style="19" customWidth="1"/>
    <col min="10780" max="10780" width="12.453125" style="19" customWidth="1"/>
    <col min="10781" max="10781" width="12.1796875" style="19" customWidth="1"/>
    <col min="10782" max="10782" width="12.08984375" style="19" customWidth="1"/>
    <col min="10783" max="10783" width="6.7265625" style="19" customWidth="1"/>
    <col min="10784" max="10784" width="7.1796875" style="19" customWidth="1"/>
    <col min="10785" max="10785" width="6.26953125" style="19" customWidth="1"/>
    <col min="10786" max="10786" width="6.08984375" style="19" customWidth="1"/>
    <col min="10787" max="10787" width="7.90625" style="19" customWidth="1"/>
    <col min="10788" max="10788" width="7.1796875" style="19" customWidth="1"/>
    <col min="10789" max="11029" width="8.26953125" style="19"/>
    <col min="11030" max="11030" width="6.26953125" style="19" customWidth="1"/>
    <col min="11031" max="11031" width="17.26953125" style="19" customWidth="1"/>
    <col min="11032" max="11032" width="12.453125" style="19" customWidth="1"/>
    <col min="11033" max="11033" width="11.81640625" style="19" customWidth="1"/>
    <col min="11034" max="11034" width="12.08984375" style="19" customWidth="1"/>
    <col min="11035" max="11035" width="12.36328125" style="19" customWidth="1"/>
    <col min="11036" max="11036" width="12.453125" style="19" customWidth="1"/>
    <col min="11037" max="11037" width="12.1796875" style="19" customWidth="1"/>
    <col min="11038" max="11038" width="12.08984375" style="19" customWidth="1"/>
    <col min="11039" max="11039" width="6.7265625" style="19" customWidth="1"/>
    <col min="11040" max="11040" width="7.1796875" style="19" customWidth="1"/>
    <col min="11041" max="11041" width="6.26953125" style="19" customWidth="1"/>
    <col min="11042" max="11042" width="6.08984375" style="19" customWidth="1"/>
    <col min="11043" max="11043" width="7.90625" style="19" customWidth="1"/>
    <col min="11044" max="11044" width="7.1796875" style="19" customWidth="1"/>
    <col min="11045" max="11285" width="8.26953125" style="19"/>
    <col min="11286" max="11286" width="6.26953125" style="19" customWidth="1"/>
    <col min="11287" max="11287" width="17.26953125" style="19" customWidth="1"/>
    <col min="11288" max="11288" width="12.453125" style="19" customWidth="1"/>
    <col min="11289" max="11289" width="11.81640625" style="19" customWidth="1"/>
    <col min="11290" max="11290" width="12.08984375" style="19" customWidth="1"/>
    <col min="11291" max="11291" width="12.36328125" style="19" customWidth="1"/>
    <col min="11292" max="11292" width="12.453125" style="19" customWidth="1"/>
    <col min="11293" max="11293" width="12.1796875" style="19" customWidth="1"/>
    <col min="11294" max="11294" width="12.08984375" style="19" customWidth="1"/>
    <col min="11295" max="11295" width="6.7265625" style="19" customWidth="1"/>
    <col min="11296" max="11296" width="7.1796875" style="19" customWidth="1"/>
    <col min="11297" max="11297" width="6.26953125" style="19" customWidth="1"/>
    <col min="11298" max="11298" width="6.08984375" style="19" customWidth="1"/>
    <col min="11299" max="11299" width="7.90625" style="19" customWidth="1"/>
    <col min="11300" max="11300" width="7.1796875" style="19" customWidth="1"/>
    <col min="11301" max="11541" width="8.26953125" style="19"/>
    <col min="11542" max="11542" width="6.26953125" style="19" customWidth="1"/>
    <col min="11543" max="11543" width="17.26953125" style="19" customWidth="1"/>
    <col min="11544" max="11544" width="12.453125" style="19" customWidth="1"/>
    <col min="11545" max="11545" width="11.81640625" style="19" customWidth="1"/>
    <col min="11546" max="11546" width="12.08984375" style="19" customWidth="1"/>
    <col min="11547" max="11547" width="12.36328125" style="19" customWidth="1"/>
    <col min="11548" max="11548" width="12.453125" style="19" customWidth="1"/>
    <col min="11549" max="11549" width="12.1796875" style="19" customWidth="1"/>
    <col min="11550" max="11550" width="12.08984375" style="19" customWidth="1"/>
    <col min="11551" max="11551" width="6.7265625" style="19" customWidth="1"/>
    <col min="11552" max="11552" width="7.1796875" style="19" customWidth="1"/>
    <col min="11553" max="11553" width="6.26953125" style="19" customWidth="1"/>
    <col min="11554" max="11554" width="6.08984375" style="19" customWidth="1"/>
    <col min="11555" max="11555" width="7.90625" style="19" customWidth="1"/>
    <col min="11556" max="11556" width="7.1796875" style="19" customWidth="1"/>
    <col min="11557" max="11797" width="8.26953125" style="19"/>
    <col min="11798" max="11798" width="6.26953125" style="19" customWidth="1"/>
    <col min="11799" max="11799" width="17.26953125" style="19" customWidth="1"/>
    <col min="11800" max="11800" width="12.453125" style="19" customWidth="1"/>
    <col min="11801" max="11801" width="11.81640625" style="19" customWidth="1"/>
    <col min="11802" max="11802" width="12.08984375" style="19" customWidth="1"/>
    <col min="11803" max="11803" width="12.36328125" style="19" customWidth="1"/>
    <col min="11804" max="11804" width="12.453125" style="19" customWidth="1"/>
    <col min="11805" max="11805" width="12.1796875" style="19" customWidth="1"/>
    <col min="11806" max="11806" width="12.08984375" style="19" customWidth="1"/>
    <col min="11807" max="11807" width="6.7265625" style="19" customWidth="1"/>
    <col min="11808" max="11808" width="7.1796875" style="19" customWidth="1"/>
    <col min="11809" max="11809" width="6.26953125" style="19" customWidth="1"/>
    <col min="11810" max="11810" width="6.08984375" style="19" customWidth="1"/>
    <col min="11811" max="11811" width="7.90625" style="19" customWidth="1"/>
    <col min="11812" max="11812" width="7.1796875" style="19" customWidth="1"/>
    <col min="11813" max="12053" width="8.26953125" style="19"/>
    <col min="12054" max="12054" width="6.26953125" style="19" customWidth="1"/>
    <col min="12055" max="12055" width="17.26953125" style="19" customWidth="1"/>
    <col min="12056" max="12056" width="12.453125" style="19" customWidth="1"/>
    <col min="12057" max="12057" width="11.81640625" style="19" customWidth="1"/>
    <col min="12058" max="12058" width="12.08984375" style="19" customWidth="1"/>
    <col min="12059" max="12059" width="12.36328125" style="19" customWidth="1"/>
    <col min="12060" max="12060" width="12.453125" style="19" customWidth="1"/>
    <col min="12061" max="12061" width="12.1796875" style="19" customWidth="1"/>
    <col min="12062" max="12062" width="12.08984375" style="19" customWidth="1"/>
    <col min="12063" max="12063" width="6.7265625" style="19" customWidth="1"/>
    <col min="12064" max="12064" width="7.1796875" style="19" customWidth="1"/>
    <col min="12065" max="12065" width="6.26953125" style="19" customWidth="1"/>
    <col min="12066" max="12066" width="6.08984375" style="19" customWidth="1"/>
    <col min="12067" max="12067" width="7.90625" style="19" customWidth="1"/>
    <col min="12068" max="12068" width="7.1796875" style="19" customWidth="1"/>
    <col min="12069" max="12309" width="8.26953125" style="19"/>
    <col min="12310" max="12310" width="6.26953125" style="19" customWidth="1"/>
    <col min="12311" max="12311" width="17.26953125" style="19" customWidth="1"/>
    <col min="12312" max="12312" width="12.453125" style="19" customWidth="1"/>
    <col min="12313" max="12313" width="11.81640625" style="19" customWidth="1"/>
    <col min="12314" max="12314" width="12.08984375" style="19" customWidth="1"/>
    <col min="12315" max="12315" width="12.36328125" style="19" customWidth="1"/>
    <col min="12316" max="12316" width="12.453125" style="19" customWidth="1"/>
    <col min="12317" max="12317" width="12.1796875" style="19" customWidth="1"/>
    <col min="12318" max="12318" width="12.08984375" style="19" customWidth="1"/>
    <col min="12319" max="12319" width="6.7265625" style="19" customWidth="1"/>
    <col min="12320" max="12320" width="7.1796875" style="19" customWidth="1"/>
    <col min="12321" max="12321" width="6.26953125" style="19" customWidth="1"/>
    <col min="12322" max="12322" width="6.08984375" style="19" customWidth="1"/>
    <col min="12323" max="12323" width="7.90625" style="19" customWidth="1"/>
    <col min="12324" max="12324" width="7.1796875" style="19" customWidth="1"/>
    <col min="12325" max="12565" width="8.26953125" style="19"/>
    <col min="12566" max="12566" width="6.26953125" style="19" customWidth="1"/>
    <col min="12567" max="12567" width="17.26953125" style="19" customWidth="1"/>
    <col min="12568" max="12568" width="12.453125" style="19" customWidth="1"/>
    <col min="12569" max="12569" width="11.81640625" style="19" customWidth="1"/>
    <col min="12570" max="12570" width="12.08984375" style="19" customWidth="1"/>
    <col min="12571" max="12571" width="12.36328125" style="19" customWidth="1"/>
    <col min="12572" max="12572" width="12.453125" style="19" customWidth="1"/>
    <col min="12573" max="12573" width="12.1796875" style="19" customWidth="1"/>
    <col min="12574" max="12574" width="12.08984375" style="19" customWidth="1"/>
    <col min="12575" max="12575" width="6.7265625" style="19" customWidth="1"/>
    <col min="12576" max="12576" width="7.1796875" style="19" customWidth="1"/>
    <col min="12577" max="12577" width="6.26953125" style="19" customWidth="1"/>
    <col min="12578" max="12578" width="6.08984375" style="19" customWidth="1"/>
    <col min="12579" max="12579" width="7.90625" style="19" customWidth="1"/>
    <col min="12580" max="12580" width="7.1796875" style="19" customWidth="1"/>
    <col min="12581" max="12821" width="8.26953125" style="19"/>
    <col min="12822" max="12822" width="6.26953125" style="19" customWidth="1"/>
    <col min="12823" max="12823" width="17.26953125" style="19" customWidth="1"/>
    <col min="12824" max="12824" width="12.453125" style="19" customWidth="1"/>
    <col min="12825" max="12825" width="11.81640625" style="19" customWidth="1"/>
    <col min="12826" max="12826" width="12.08984375" style="19" customWidth="1"/>
    <col min="12827" max="12827" width="12.36328125" style="19" customWidth="1"/>
    <col min="12828" max="12828" width="12.453125" style="19" customWidth="1"/>
    <col min="12829" max="12829" width="12.1796875" style="19" customWidth="1"/>
    <col min="12830" max="12830" width="12.08984375" style="19" customWidth="1"/>
    <col min="12831" max="12831" width="6.7265625" style="19" customWidth="1"/>
    <col min="12832" max="12832" width="7.1796875" style="19" customWidth="1"/>
    <col min="12833" max="12833" width="6.26953125" style="19" customWidth="1"/>
    <col min="12834" max="12834" width="6.08984375" style="19" customWidth="1"/>
    <col min="12835" max="12835" width="7.90625" style="19" customWidth="1"/>
    <col min="12836" max="12836" width="7.1796875" style="19" customWidth="1"/>
    <col min="12837" max="13077" width="8.26953125" style="19"/>
    <col min="13078" max="13078" width="6.26953125" style="19" customWidth="1"/>
    <col min="13079" max="13079" width="17.26953125" style="19" customWidth="1"/>
    <col min="13080" max="13080" width="12.453125" style="19" customWidth="1"/>
    <col min="13081" max="13081" width="11.81640625" style="19" customWidth="1"/>
    <col min="13082" max="13082" width="12.08984375" style="19" customWidth="1"/>
    <col min="13083" max="13083" width="12.36328125" style="19" customWidth="1"/>
    <col min="13084" max="13084" width="12.453125" style="19" customWidth="1"/>
    <col min="13085" max="13085" width="12.1796875" style="19" customWidth="1"/>
    <col min="13086" max="13086" width="12.08984375" style="19" customWidth="1"/>
    <col min="13087" max="13087" width="6.7265625" style="19" customWidth="1"/>
    <col min="13088" max="13088" width="7.1796875" style="19" customWidth="1"/>
    <col min="13089" max="13089" width="6.26953125" style="19" customWidth="1"/>
    <col min="13090" max="13090" width="6.08984375" style="19" customWidth="1"/>
    <col min="13091" max="13091" width="7.90625" style="19" customWidth="1"/>
    <col min="13092" max="13092" width="7.1796875" style="19" customWidth="1"/>
    <col min="13093" max="13333" width="8.26953125" style="19"/>
    <col min="13334" max="13334" width="6.26953125" style="19" customWidth="1"/>
    <col min="13335" max="13335" width="17.26953125" style="19" customWidth="1"/>
    <col min="13336" max="13336" width="12.453125" style="19" customWidth="1"/>
    <col min="13337" max="13337" width="11.81640625" style="19" customWidth="1"/>
    <col min="13338" max="13338" width="12.08984375" style="19" customWidth="1"/>
    <col min="13339" max="13339" width="12.36328125" style="19" customWidth="1"/>
    <col min="13340" max="13340" width="12.453125" style="19" customWidth="1"/>
    <col min="13341" max="13341" width="12.1796875" style="19" customWidth="1"/>
    <col min="13342" max="13342" width="12.08984375" style="19" customWidth="1"/>
    <col min="13343" max="13343" width="6.7265625" style="19" customWidth="1"/>
    <col min="13344" max="13344" width="7.1796875" style="19" customWidth="1"/>
    <col min="13345" max="13345" width="6.26953125" style="19" customWidth="1"/>
    <col min="13346" max="13346" width="6.08984375" style="19" customWidth="1"/>
    <col min="13347" max="13347" width="7.90625" style="19" customWidth="1"/>
    <col min="13348" max="13348" width="7.1796875" style="19" customWidth="1"/>
    <col min="13349" max="13589" width="8.26953125" style="19"/>
    <col min="13590" max="13590" width="6.26953125" style="19" customWidth="1"/>
    <col min="13591" max="13591" width="17.26953125" style="19" customWidth="1"/>
    <col min="13592" max="13592" width="12.453125" style="19" customWidth="1"/>
    <col min="13593" max="13593" width="11.81640625" style="19" customWidth="1"/>
    <col min="13594" max="13594" width="12.08984375" style="19" customWidth="1"/>
    <col min="13595" max="13595" width="12.36328125" style="19" customWidth="1"/>
    <col min="13596" max="13596" width="12.453125" style="19" customWidth="1"/>
    <col min="13597" max="13597" width="12.1796875" style="19" customWidth="1"/>
    <col min="13598" max="13598" width="12.08984375" style="19" customWidth="1"/>
    <col min="13599" max="13599" width="6.7265625" style="19" customWidth="1"/>
    <col min="13600" max="13600" width="7.1796875" style="19" customWidth="1"/>
    <col min="13601" max="13601" width="6.26953125" style="19" customWidth="1"/>
    <col min="13602" max="13602" width="6.08984375" style="19" customWidth="1"/>
    <col min="13603" max="13603" width="7.90625" style="19" customWidth="1"/>
    <col min="13604" max="13604" width="7.1796875" style="19" customWidth="1"/>
    <col min="13605" max="13845" width="8.26953125" style="19"/>
    <col min="13846" max="13846" width="6.26953125" style="19" customWidth="1"/>
    <col min="13847" max="13847" width="17.26953125" style="19" customWidth="1"/>
    <col min="13848" max="13848" width="12.453125" style="19" customWidth="1"/>
    <col min="13849" max="13849" width="11.81640625" style="19" customWidth="1"/>
    <col min="13850" max="13850" width="12.08984375" style="19" customWidth="1"/>
    <col min="13851" max="13851" width="12.36328125" style="19" customWidth="1"/>
    <col min="13852" max="13852" width="12.453125" style="19" customWidth="1"/>
    <col min="13853" max="13853" width="12.1796875" style="19" customWidth="1"/>
    <col min="13854" max="13854" width="12.08984375" style="19" customWidth="1"/>
    <col min="13855" max="13855" width="6.7265625" style="19" customWidth="1"/>
    <col min="13856" max="13856" width="7.1796875" style="19" customWidth="1"/>
    <col min="13857" max="13857" width="6.26953125" style="19" customWidth="1"/>
    <col min="13858" max="13858" width="6.08984375" style="19" customWidth="1"/>
    <col min="13859" max="13859" width="7.90625" style="19" customWidth="1"/>
    <col min="13860" max="13860" width="7.1796875" style="19" customWidth="1"/>
    <col min="13861" max="14101" width="8.26953125" style="19"/>
    <col min="14102" max="14102" width="6.26953125" style="19" customWidth="1"/>
    <col min="14103" max="14103" width="17.26953125" style="19" customWidth="1"/>
    <col min="14104" max="14104" width="12.453125" style="19" customWidth="1"/>
    <col min="14105" max="14105" width="11.81640625" style="19" customWidth="1"/>
    <col min="14106" max="14106" width="12.08984375" style="19" customWidth="1"/>
    <col min="14107" max="14107" width="12.36328125" style="19" customWidth="1"/>
    <col min="14108" max="14108" width="12.453125" style="19" customWidth="1"/>
    <col min="14109" max="14109" width="12.1796875" style="19" customWidth="1"/>
    <col min="14110" max="14110" width="12.08984375" style="19" customWidth="1"/>
    <col min="14111" max="14111" width="6.7265625" style="19" customWidth="1"/>
    <col min="14112" max="14112" width="7.1796875" style="19" customWidth="1"/>
    <col min="14113" max="14113" width="6.26953125" style="19" customWidth="1"/>
    <col min="14114" max="14114" width="6.08984375" style="19" customWidth="1"/>
    <col min="14115" max="14115" width="7.90625" style="19" customWidth="1"/>
    <col min="14116" max="14116" width="7.1796875" style="19" customWidth="1"/>
    <col min="14117" max="14357" width="8.26953125" style="19"/>
    <col min="14358" max="14358" width="6.26953125" style="19" customWidth="1"/>
    <col min="14359" max="14359" width="17.26953125" style="19" customWidth="1"/>
    <col min="14360" max="14360" width="12.453125" style="19" customWidth="1"/>
    <col min="14361" max="14361" width="11.81640625" style="19" customWidth="1"/>
    <col min="14362" max="14362" width="12.08984375" style="19" customWidth="1"/>
    <col min="14363" max="14363" width="12.36328125" style="19" customWidth="1"/>
    <col min="14364" max="14364" width="12.453125" style="19" customWidth="1"/>
    <col min="14365" max="14365" width="12.1796875" style="19" customWidth="1"/>
    <col min="14366" max="14366" width="12.08984375" style="19" customWidth="1"/>
    <col min="14367" max="14367" width="6.7265625" style="19" customWidth="1"/>
    <col min="14368" max="14368" width="7.1796875" style="19" customWidth="1"/>
    <col min="14369" max="14369" width="6.26953125" style="19" customWidth="1"/>
    <col min="14370" max="14370" width="6.08984375" style="19" customWidth="1"/>
    <col min="14371" max="14371" width="7.90625" style="19" customWidth="1"/>
    <col min="14372" max="14372" width="7.1796875" style="19" customWidth="1"/>
    <col min="14373" max="14613" width="8.26953125" style="19"/>
    <col min="14614" max="14614" width="6.26953125" style="19" customWidth="1"/>
    <col min="14615" max="14615" width="17.26953125" style="19" customWidth="1"/>
    <col min="14616" max="14616" width="12.453125" style="19" customWidth="1"/>
    <col min="14617" max="14617" width="11.81640625" style="19" customWidth="1"/>
    <col min="14618" max="14618" width="12.08984375" style="19" customWidth="1"/>
    <col min="14619" max="14619" width="12.36328125" style="19" customWidth="1"/>
    <col min="14620" max="14620" width="12.453125" style="19" customWidth="1"/>
    <col min="14621" max="14621" width="12.1796875" style="19" customWidth="1"/>
    <col min="14622" max="14622" width="12.08984375" style="19" customWidth="1"/>
    <col min="14623" max="14623" width="6.7265625" style="19" customWidth="1"/>
    <col min="14624" max="14624" width="7.1796875" style="19" customWidth="1"/>
    <col min="14625" max="14625" width="6.26953125" style="19" customWidth="1"/>
    <col min="14626" max="14626" width="6.08984375" style="19" customWidth="1"/>
    <col min="14627" max="14627" width="7.90625" style="19" customWidth="1"/>
    <col min="14628" max="14628" width="7.1796875" style="19" customWidth="1"/>
    <col min="14629" max="14869" width="8.26953125" style="19"/>
    <col min="14870" max="14870" width="6.26953125" style="19" customWidth="1"/>
    <col min="14871" max="14871" width="17.26953125" style="19" customWidth="1"/>
    <col min="14872" max="14872" width="12.453125" style="19" customWidth="1"/>
    <col min="14873" max="14873" width="11.81640625" style="19" customWidth="1"/>
    <col min="14874" max="14874" width="12.08984375" style="19" customWidth="1"/>
    <col min="14875" max="14875" width="12.36328125" style="19" customWidth="1"/>
    <col min="14876" max="14876" width="12.453125" style="19" customWidth="1"/>
    <col min="14877" max="14877" width="12.1796875" style="19" customWidth="1"/>
    <col min="14878" max="14878" width="12.08984375" style="19" customWidth="1"/>
    <col min="14879" max="14879" width="6.7265625" style="19" customWidth="1"/>
    <col min="14880" max="14880" width="7.1796875" style="19" customWidth="1"/>
    <col min="14881" max="14881" width="6.26953125" style="19" customWidth="1"/>
    <col min="14882" max="14882" width="6.08984375" style="19" customWidth="1"/>
    <col min="14883" max="14883" width="7.90625" style="19" customWidth="1"/>
    <col min="14884" max="14884" width="7.1796875" style="19" customWidth="1"/>
    <col min="14885" max="15125" width="8.26953125" style="19"/>
    <col min="15126" max="15126" width="6.26953125" style="19" customWidth="1"/>
    <col min="15127" max="15127" width="17.26953125" style="19" customWidth="1"/>
    <col min="15128" max="15128" width="12.453125" style="19" customWidth="1"/>
    <col min="15129" max="15129" width="11.81640625" style="19" customWidth="1"/>
    <col min="15130" max="15130" width="12.08984375" style="19" customWidth="1"/>
    <col min="15131" max="15131" width="12.36328125" style="19" customWidth="1"/>
    <col min="15132" max="15132" width="12.453125" style="19" customWidth="1"/>
    <col min="15133" max="15133" width="12.1796875" style="19" customWidth="1"/>
    <col min="15134" max="15134" width="12.08984375" style="19" customWidth="1"/>
    <col min="15135" max="15135" width="6.7265625" style="19" customWidth="1"/>
    <col min="15136" max="15136" width="7.1796875" style="19" customWidth="1"/>
    <col min="15137" max="15137" width="6.26953125" style="19" customWidth="1"/>
    <col min="15138" max="15138" width="6.08984375" style="19" customWidth="1"/>
    <col min="15139" max="15139" width="7.90625" style="19" customWidth="1"/>
    <col min="15140" max="15140" width="7.1796875" style="19" customWidth="1"/>
    <col min="15141" max="15381" width="8.26953125" style="19"/>
    <col min="15382" max="15382" width="6.26953125" style="19" customWidth="1"/>
    <col min="15383" max="15383" width="17.26953125" style="19" customWidth="1"/>
    <col min="15384" max="15384" width="12.453125" style="19" customWidth="1"/>
    <col min="15385" max="15385" width="11.81640625" style="19" customWidth="1"/>
    <col min="15386" max="15386" width="12.08984375" style="19" customWidth="1"/>
    <col min="15387" max="15387" width="12.36328125" style="19" customWidth="1"/>
    <col min="15388" max="15388" width="12.453125" style="19" customWidth="1"/>
    <col min="15389" max="15389" width="12.1796875" style="19" customWidth="1"/>
    <col min="15390" max="15390" width="12.08984375" style="19" customWidth="1"/>
    <col min="15391" max="15391" width="6.7265625" style="19" customWidth="1"/>
    <col min="15392" max="15392" width="7.1796875" style="19" customWidth="1"/>
    <col min="15393" max="15393" width="6.26953125" style="19" customWidth="1"/>
    <col min="15394" max="15394" width="6.08984375" style="19" customWidth="1"/>
    <col min="15395" max="15395" width="7.90625" style="19" customWidth="1"/>
    <col min="15396" max="15396" width="7.1796875" style="19" customWidth="1"/>
    <col min="15397" max="15637" width="8.26953125" style="19"/>
    <col min="15638" max="15638" width="6.26953125" style="19" customWidth="1"/>
    <col min="15639" max="15639" width="17.26953125" style="19" customWidth="1"/>
    <col min="15640" max="15640" width="12.453125" style="19" customWidth="1"/>
    <col min="15641" max="15641" width="11.81640625" style="19" customWidth="1"/>
    <col min="15642" max="15642" width="12.08984375" style="19" customWidth="1"/>
    <col min="15643" max="15643" width="12.36328125" style="19" customWidth="1"/>
    <col min="15644" max="15644" width="12.453125" style="19" customWidth="1"/>
    <col min="15645" max="15645" width="12.1796875" style="19" customWidth="1"/>
    <col min="15646" max="15646" width="12.08984375" style="19" customWidth="1"/>
    <col min="15647" max="15647" width="6.7265625" style="19" customWidth="1"/>
    <col min="15648" max="15648" width="7.1796875" style="19" customWidth="1"/>
    <col min="15649" max="15649" width="6.26953125" style="19" customWidth="1"/>
    <col min="15650" max="15650" width="6.08984375" style="19" customWidth="1"/>
    <col min="15651" max="15651" width="7.90625" style="19" customWidth="1"/>
    <col min="15652" max="15652" width="7.1796875" style="19" customWidth="1"/>
    <col min="15653" max="15893" width="8.26953125" style="19"/>
    <col min="15894" max="15894" width="6.26953125" style="19" customWidth="1"/>
    <col min="15895" max="15895" width="17.26953125" style="19" customWidth="1"/>
    <col min="15896" max="15896" width="12.453125" style="19" customWidth="1"/>
    <col min="15897" max="15897" width="11.81640625" style="19" customWidth="1"/>
    <col min="15898" max="15898" width="12.08984375" style="19" customWidth="1"/>
    <col min="15899" max="15899" width="12.36328125" style="19" customWidth="1"/>
    <col min="15900" max="15900" width="12.453125" style="19" customWidth="1"/>
    <col min="15901" max="15901" width="12.1796875" style="19" customWidth="1"/>
    <col min="15902" max="15902" width="12.08984375" style="19" customWidth="1"/>
    <col min="15903" max="15903" width="6.7265625" style="19" customWidth="1"/>
    <col min="15904" max="15904" width="7.1796875" style="19" customWidth="1"/>
    <col min="15905" max="15905" width="6.26953125" style="19" customWidth="1"/>
    <col min="15906" max="15906" width="6.08984375" style="19" customWidth="1"/>
    <col min="15907" max="15907" width="7.90625" style="19" customWidth="1"/>
    <col min="15908" max="15908" width="7.1796875" style="19" customWidth="1"/>
    <col min="15909" max="16149" width="8.26953125" style="19"/>
    <col min="16150" max="16150" width="6.26953125" style="19" customWidth="1"/>
    <col min="16151" max="16151" width="17.26953125" style="19" customWidth="1"/>
    <col min="16152" max="16152" width="12.453125" style="19" customWidth="1"/>
    <col min="16153" max="16153" width="11.81640625" style="19" customWidth="1"/>
    <col min="16154" max="16154" width="12.08984375" style="19" customWidth="1"/>
    <col min="16155" max="16155" width="12.36328125" style="19" customWidth="1"/>
    <col min="16156" max="16156" width="12.453125" style="19" customWidth="1"/>
    <col min="16157" max="16157" width="12.1796875" style="19" customWidth="1"/>
    <col min="16158" max="16158" width="12.08984375" style="19" customWidth="1"/>
    <col min="16159" max="16159" width="6.7265625" style="19" customWidth="1"/>
    <col min="16160" max="16160" width="7.1796875" style="19" customWidth="1"/>
    <col min="16161" max="16161" width="6.26953125" style="19" customWidth="1"/>
    <col min="16162" max="16162" width="6.08984375" style="19" customWidth="1"/>
    <col min="16163" max="16163" width="7.90625" style="19" customWidth="1"/>
    <col min="16164" max="16164" width="7.1796875" style="19" customWidth="1"/>
    <col min="16165" max="16384" width="8.26953125" style="19"/>
  </cols>
  <sheetData>
    <row r="1" spans="1:36" s="6" customFormat="1">
      <c r="A1" s="91" t="s">
        <v>117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</row>
    <row r="2" spans="1:36" s="6" customFormat="1">
      <c r="A2" s="91" t="s">
        <v>118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</row>
    <row r="3" spans="1:36" s="9" customFormat="1" ht="23.25" customHeight="1">
      <c r="A3" s="92" t="s">
        <v>119</v>
      </c>
      <c r="B3" s="92" t="s">
        <v>120</v>
      </c>
      <c r="C3" s="95" t="s">
        <v>121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7"/>
      <c r="AE3" s="7" t="s">
        <v>122</v>
      </c>
      <c r="AF3" s="8"/>
      <c r="AG3" s="104" t="s">
        <v>123</v>
      </c>
      <c r="AH3" s="104" t="s">
        <v>124</v>
      </c>
      <c r="AI3" s="104" t="s">
        <v>125</v>
      </c>
      <c r="AJ3" s="104" t="s">
        <v>126</v>
      </c>
    </row>
    <row r="4" spans="1:36" s="9" customFormat="1">
      <c r="A4" s="93"/>
      <c r="B4" s="93"/>
      <c r="C4" s="98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100"/>
      <c r="AE4" s="89" t="s">
        <v>127</v>
      </c>
      <c r="AF4" s="89" t="s">
        <v>128</v>
      </c>
      <c r="AG4" s="105"/>
      <c r="AH4" s="105"/>
      <c r="AI4" s="105"/>
      <c r="AJ4" s="105"/>
    </row>
    <row r="5" spans="1:36" s="9" customFormat="1">
      <c r="A5" s="94"/>
      <c r="B5" s="94"/>
      <c r="C5" s="101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3"/>
      <c r="AE5" s="90"/>
      <c r="AF5" s="90"/>
      <c r="AG5" s="106"/>
      <c r="AH5" s="106"/>
      <c r="AI5" s="106"/>
      <c r="AJ5" s="106"/>
    </row>
    <row r="6" spans="1:36">
      <c r="A6" s="10">
        <v>1</v>
      </c>
      <c r="B6" s="11" t="s">
        <v>129</v>
      </c>
      <c r="C6" s="86" t="s">
        <v>130</v>
      </c>
      <c r="D6" s="87"/>
      <c r="E6" s="87"/>
      <c r="F6" s="88"/>
      <c r="G6" s="78" t="s">
        <v>131</v>
      </c>
      <c r="H6" s="72"/>
      <c r="I6" s="72"/>
      <c r="J6" s="73"/>
      <c r="K6" s="78"/>
      <c r="L6" s="72"/>
      <c r="M6" s="72"/>
      <c r="N6" s="73"/>
      <c r="O6" s="78"/>
      <c r="P6" s="72"/>
      <c r="Q6" s="72"/>
      <c r="R6" s="73"/>
      <c r="S6" s="78"/>
      <c r="T6" s="72"/>
      <c r="U6" s="72"/>
      <c r="V6" s="73"/>
      <c r="W6" s="78"/>
      <c r="X6" s="72"/>
      <c r="Y6" s="72"/>
      <c r="Z6" s="73"/>
      <c r="AA6" s="78"/>
      <c r="AB6" s="72"/>
      <c r="AC6" s="72"/>
      <c r="AD6" s="73"/>
      <c r="AE6" s="13"/>
      <c r="AF6" s="14"/>
      <c r="AG6" s="15"/>
      <c r="AH6" s="16"/>
      <c r="AI6" s="17"/>
      <c r="AJ6" s="18"/>
    </row>
    <row r="7" spans="1:36" ht="23.25" customHeight="1">
      <c r="A7" s="20"/>
      <c r="B7" s="21"/>
      <c r="C7" s="22" t="s">
        <v>132</v>
      </c>
      <c r="D7" s="23" t="s">
        <v>133</v>
      </c>
      <c r="E7" s="22" t="s">
        <v>134</v>
      </c>
      <c r="F7" s="24" t="s">
        <v>135</v>
      </c>
      <c r="G7" s="25" t="s">
        <v>136</v>
      </c>
      <c r="H7" s="26" t="s">
        <v>133</v>
      </c>
      <c r="I7" s="1" t="s">
        <v>137</v>
      </c>
      <c r="J7" s="27" t="s">
        <v>135</v>
      </c>
      <c r="K7" s="28"/>
      <c r="M7" s="28"/>
      <c r="N7" s="27"/>
      <c r="O7" s="1"/>
      <c r="Q7" s="1"/>
      <c r="R7" s="27"/>
      <c r="S7" s="1"/>
      <c r="U7" s="1"/>
      <c r="V7" s="27"/>
      <c r="W7" s="29"/>
      <c r="X7" s="30"/>
      <c r="Y7" s="29"/>
      <c r="Z7" s="27"/>
      <c r="AA7" s="25"/>
      <c r="AB7" s="29"/>
      <c r="AC7" s="29"/>
      <c r="AD7" s="27"/>
      <c r="AE7" s="31">
        <v>2</v>
      </c>
      <c r="AF7" s="20">
        <v>4</v>
      </c>
      <c r="AG7" s="32">
        <f>(AE7*60)+(AF7*70)</f>
        <v>400</v>
      </c>
      <c r="AH7" s="21"/>
      <c r="AI7" s="21"/>
      <c r="AJ7" s="33">
        <f>AG7</f>
        <v>400</v>
      </c>
    </row>
    <row r="8" spans="1:36">
      <c r="A8" s="10">
        <v>2</v>
      </c>
      <c r="B8" s="11" t="s">
        <v>138</v>
      </c>
      <c r="C8" s="78" t="s">
        <v>131</v>
      </c>
      <c r="D8" s="72"/>
      <c r="E8" s="72"/>
      <c r="F8" s="73"/>
      <c r="G8" s="78"/>
      <c r="H8" s="72"/>
      <c r="I8" s="72"/>
      <c r="J8" s="73"/>
      <c r="K8" s="78"/>
      <c r="L8" s="72"/>
      <c r="M8" s="72"/>
      <c r="N8" s="73"/>
      <c r="O8" s="78"/>
      <c r="P8" s="72"/>
      <c r="Q8" s="72"/>
      <c r="R8" s="73"/>
      <c r="S8" s="78"/>
      <c r="T8" s="72"/>
      <c r="U8" s="72"/>
      <c r="V8" s="73"/>
      <c r="W8" s="78"/>
      <c r="X8" s="72"/>
      <c r="Y8" s="72"/>
      <c r="Z8" s="73"/>
      <c r="AA8" s="78"/>
      <c r="AB8" s="72"/>
      <c r="AC8" s="72"/>
      <c r="AD8" s="73"/>
      <c r="AE8" s="13"/>
      <c r="AF8" s="14"/>
      <c r="AG8" s="15"/>
      <c r="AH8" s="16"/>
      <c r="AI8" s="17"/>
      <c r="AJ8" s="18"/>
    </row>
    <row r="9" spans="1:36" ht="23.25" customHeight="1">
      <c r="A9" s="20"/>
      <c r="B9" s="21"/>
      <c r="C9" s="25" t="s">
        <v>136</v>
      </c>
      <c r="D9" s="26" t="s">
        <v>133</v>
      </c>
      <c r="E9" s="1" t="s">
        <v>139</v>
      </c>
      <c r="F9" s="27" t="s">
        <v>135</v>
      </c>
      <c r="G9" s="28"/>
      <c r="I9" s="28"/>
      <c r="J9" s="27"/>
      <c r="K9" s="28"/>
      <c r="M9" s="28"/>
      <c r="N9" s="27"/>
      <c r="O9" s="1"/>
      <c r="Q9" s="1"/>
      <c r="R9" s="27"/>
      <c r="S9" s="1"/>
      <c r="U9" s="1"/>
      <c r="V9" s="27"/>
      <c r="W9" s="29"/>
      <c r="X9" s="30"/>
      <c r="Y9" s="29"/>
      <c r="Z9" s="27"/>
      <c r="AA9" s="25"/>
      <c r="AB9" s="29"/>
      <c r="AC9" s="29"/>
      <c r="AD9" s="27"/>
      <c r="AE9" s="31">
        <v>2</v>
      </c>
      <c r="AF9" s="20"/>
      <c r="AG9" s="32">
        <f>(AE9*60)+(AF9*70)</f>
        <v>120</v>
      </c>
      <c r="AH9" s="21"/>
      <c r="AI9" s="21"/>
      <c r="AJ9" s="33">
        <f>AG9</f>
        <v>120</v>
      </c>
    </row>
    <row r="10" spans="1:36">
      <c r="A10" s="10">
        <v>3</v>
      </c>
      <c r="B10" s="11" t="s">
        <v>140</v>
      </c>
      <c r="C10" s="78" t="s">
        <v>131</v>
      </c>
      <c r="D10" s="72"/>
      <c r="E10" s="72"/>
      <c r="F10" s="73"/>
      <c r="G10" s="78" t="s">
        <v>141</v>
      </c>
      <c r="H10" s="72"/>
      <c r="I10" s="72"/>
      <c r="J10" s="73"/>
      <c r="K10" s="78"/>
      <c r="L10" s="72"/>
      <c r="M10" s="72"/>
      <c r="N10" s="73"/>
      <c r="O10" s="78"/>
      <c r="P10" s="72"/>
      <c r="Q10" s="72"/>
      <c r="R10" s="73"/>
      <c r="S10" s="78"/>
      <c r="T10" s="72"/>
      <c r="U10" s="72"/>
      <c r="V10" s="73"/>
      <c r="W10" s="78"/>
      <c r="X10" s="72"/>
      <c r="Y10" s="72"/>
      <c r="Z10" s="73"/>
      <c r="AA10" s="78"/>
      <c r="AB10" s="72"/>
      <c r="AC10" s="72"/>
      <c r="AD10" s="73"/>
      <c r="AE10" s="13"/>
      <c r="AF10" s="14"/>
      <c r="AG10" s="15"/>
      <c r="AH10" s="16"/>
      <c r="AI10" s="17"/>
      <c r="AJ10" s="18"/>
    </row>
    <row r="11" spans="1:36" ht="23.25" customHeight="1">
      <c r="A11" s="20"/>
      <c r="B11" s="21"/>
      <c r="C11" s="25" t="s">
        <v>136</v>
      </c>
      <c r="D11" s="26" t="s">
        <v>133</v>
      </c>
      <c r="E11" s="1" t="s">
        <v>137</v>
      </c>
      <c r="F11" s="27" t="s">
        <v>135</v>
      </c>
      <c r="G11" s="25" t="s">
        <v>136</v>
      </c>
      <c r="H11" s="26" t="s">
        <v>133</v>
      </c>
      <c r="I11" s="1" t="s">
        <v>142</v>
      </c>
      <c r="J11" s="27" t="s">
        <v>135</v>
      </c>
      <c r="K11" s="28"/>
      <c r="M11" s="28"/>
      <c r="N11" s="27"/>
      <c r="O11" s="1"/>
      <c r="Q11" s="1"/>
      <c r="R11" s="27"/>
      <c r="S11" s="1"/>
      <c r="U11" s="1"/>
      <c r="V11" s="27"/>
      <c r="W11" s="29"/>
      <c r="X11" s="30"/>
      <c r="Y11" s="29"/>
      <c r="Z11" s="27"/>
      <c r="AA11" s="25"/>
      <c r="AB11" s="29"/>
      <c r="AC11" s="29"/>
      <c r="AD11" s="27"/>
      <c r="AE11" s="31">
        <v>4</v>
      </c>
      <c r="AF11" s="20"/>
      <c r="AG11" s="32">
        <f>(AE11*60)+(AF11*70)</f>
        <v>240</v>
      </c>
      <c r="AH11" s="21"/>
      <c r="AI11" s="21"/>
      <c r="AJ11" s="33">
        <f>AG11</f>
        <v>240</v>
      </c>
    </row>
    <row r="12" spans="1:36">
      <c r="A12" s="10">
        <v>4</v>
      </c>
      <c r="B12" s="11" t="s">
        <v>143</v>
      </c>
      <c r="C12" s="78" t="s">
        <v>144</v>
      </c>
      <c r="D12" s="72"/>
      <c r="E12" s="72"/>
      <c r="F12" s="73"/>
      <c r="G12" s="78" t="s">
        <v>145</v>
      </c>
      <c r="H12" s="72"/>
      <c r="I12" s="72"/>
      <c r="J12" s="73"/>
      <c r="K12" s="78" t="s">
        <v>146</v>
      </c>
      <c r="L12" s="72"/>
      <c r="M12" s="72"/>
      <c r="N12" s="73"/>
      <c r="O12" s="86" t="s">
        <v>147</v>
      </c>
      <c r="P12" s="87"/>
      <c r="Q12" s="87"/>
      <c r="R12" s="88"/>
      <c r="S12" s="78" t="s">
        <v>148</v>
      </c>
      <c r="T12" s="72"/>
      <c r="U12" s="72"/>
      <c r="V12" s="73"/>
      <c r="W12" s="86" t="s">
        <v>149</v>
      </c>
      <c r="X12" s="87"/>
      <c r="Y12" s="87"/>
      <c r="Z12" s="88"/>
      <c r="AA12" s="86" t="s">
        <v>150</v>
      </c>
      <c r="AB12" s="87"/>
      <c r="AC12" s="87"/>
      <c r="AD12" s="88"/>
      <c r="AE12" s="13"/>
      <c r="AF12" s="14"/>
      <c r="AG12" s="15"/>
      <c r="AH12" s="16"/>
      <c r="AI12" s="17"/>
      <c r="AJ12" s="18"/>
    </row>
    <row r="13" spans="1:36" ht="23.25" customHeight="1">
      <c r="A13" s="20"/>
      <c r="B13" s="21"/>
      <c r="C13" s="25" t="s">
        <v>136</v>
      </c>
      <c r="D13" s="26" t="s">
        <v>133</v>
      </c>
      <c r="E13" s="1" t="s">
        <v>151</v>
      </c>
      <c r="F13" s="27" t="s">
        <v>135</v>
      </c>
      <c r="G13" s="25" t="s">
        <v>136</v>
      </c>
      <c r="H13" s="26" t="s">
        <v>133</v>
      </c>
      <c r="I13" s="1" t="s">
        <v>152</v>
      </c>
      <c r="J13" s="27" t="s">
        <v>135</v>
      </c>
      <c r="K13" s="25" t="s">
        <v>136</v>
      </c>
      <c r="L13" s="26" t="s">
        <v>133</v>
      </c>
      <c r="M13" s="1" t="s">
        <v>153</v>
      </c>
      <c r="N13" s="27" t="s">
        <v>135</v>
      </c>
      <c r="O13" s="22" t="s">
        <v>154</v>
      </c>
      <c r="P13" s="23" t="s">
        <v>133</v>
      </c>
      <c r="Q13" s="22" t="s">
        <v>137</v>
      </c>
      <c r="R13" s="24" t="s">
        <v>135</v>
      </c>
      <c r="S13" s="25" t="s">
        <v>136</v>
      </c>
      <c r="T13" s="26" t="s">
        <v>133</v>
      </c>
      <c r="U13" s="1" t="s">
        <v>155</v>
      </c>
      <c r="V13" s="27" t="s">
        <v>135</v>
      </c>
      <c r="W13" s="22" t="s">
        <v>156</v>
      </c>
      <c r="X13" s="23" t="s">
        <v>133</v>
      </c>
      <c r="Y13" s="22" t="s">
        <v>157</v>
      </c>
      <c r="Z13" s="24" t="s">
        <v>135</v>
      </c>
      <c r="AA13" s="22" t="s">
        <v>158</v>
      </c>
      <c r="AB13" s="23" t="s">
        <v>133</v>
      </c>
      <c r="AC13" s="34">
        <v>0.84722222222222221</v>
      </c>
      <c r="AD13" s="24" t="s">
        <v>135</v>
      </c>
      <c r="AE13" s="31">
        <v>16</v>
      </c>
      <c r="AF13" s="20">
        <f>5+6+7</f>
        <v>18</v>
      </c>
      <c r="AG13" s="32">
        <f>(AE13*60)+(AF13*70)</f>
        <v>2220</v>
      </c>
      <c r="AH13" s="21"/>
      <c r="AI13" s="21"/>
      <c r="AJ13" s="33">
        <f>AG13</f>
        <v>2220</v>
      </c>
    </row>
    <row r="14" spans="1:36">
      <c r="A14" s="10">
        <v>5</v>
      </c>
      <c r="B14" s="11" t="s">
        <v>159</v>
      </c>
      <c r="C14" s="86" t="s">
        <v>160</v>
      </c>
      <c r="D14" s="87"/>
      <c r="E14" s="87"/>
      <c r="F14" s="88"/>
      <c r="G14" s="78"/>
      <c r="H14" s="72"/>
      <c r="I14" s="72"/>
      <c r="J14" s="73"/>
      <c r="K14" s="78"/>
      <c r="L14" s="72"/>
      <c r="M14" s="72"/>
      <c r="N14" s="73"/>
      <c r="O14" s="78"/>
      <c r="P14" s="72"/>
      <c r="Q14" s="72"/>
      <c r="R14" s="73"/>
      <c r="S14" s="78"/>
      <c r="T14" s="72"/>
      <c r="U14" s="72"/>
      <c r="V14" s="73"/>
      <c r="W14" s="78"/>
      <c r="X14" s="72"/>
      <c r="Y14" s="72"/>
      <c r="Z14" s="73"/>
      <c r="AA14" s="78"/>
      <c r="AB14" s="72"/>
      <c r="AC14" s="72"/>
      <c r="AD14" s="73"/>
      <c r="AE14" s="13"/>
      <c r="AF14" s="14"/>
      <c r="AG14" s="15"/>
      <c r="AH14" s="16"/>
      <c r="AI14" s="17"/>
      <c r="AJ14" s="18"/>
    </row>
    <row r="15" spans="1:36" ht="23.25" customHeight="1">
      <c r="A15" s="20"/>
      <c r="B15" s="21"/>
      <c r="C15" s="35">
        <v>0.38750000000000001</v>
      </c>
      <c r="D15" s="23" t="s">
        <v>133</v>
      </c>
      <c r="E15" s="34">
        <v>0.72291666666666665</v>
      </c>
      <c r="F15" s="24" t="s">
        <v>135</v>
      </c>
      <c r="G15" s="28"/>
      <c r="I15" s="28"/>
      <c r="J15" s="27"/>
      <c r="K15" s="28"/>
      <c r="M15" s="28"/>
      <c r="N15" s="27"/>
      <c r="O15" s="1"/>
      <c r="Q15" s="1"/>
      <c r="R15" s="27"/>
      <c r="S15" s="1"/>
      <c r="U15" s="1"/>
      <c r="V15" s="27"/>
      <c r="W15" s="29"/>
      <c r="X15" s="30"/>
      <c r="Y15" s="29"/>
      <c r="Z15" s="27"/>
      <c r="AA15" s="25"/>
      <c r="AB15" s="29"/>
      <c r="AC15" s="29"/>
      <c r="AD15" s="27"/>
      <c r="AE15" s="31"/>
      <c r="AF15" s="20">
        <v>7</v>
      </c>
      <c r="AG15" s="32">
        <f>(AE15*60)+(AF15*70)</f>
        <v>490</v>
      </c>
      <c r="AH15" s="21"/>
      <c r="AI15" s="21"/>
      <c r="AJ15" s="33">
        <f>AG15</f>
        <v>490</v>
      </c>
    </row>
    <row r="16" spans="1:36">
      <c r="A16" s="10">
        <v>6</v>
      </c>
      <c r="B16" s="36" t="s">
        <v>161</v>
      </c>
      <c r="C16" s="86" t="s">
        <v>162</v>
      </c>
      <c r="D16" s="87"/>
      <c r="E16" s="87"/>
      <c r="F16" s="88"/>
      <c r="G16" s="86" t="s">
        <v>163</v>
      </c>
      <c r="H16" s="87"/>
      <c r="I16" s="87"/>
      <c r="J16" s="88"/>
      <c r="K16" s="78"/>
      <c r="L16" s="72"/>
      <c r="M16" s="72"/>
      <c r="N16" s="73"/>
      <c r="O16" s="78"/>
      <c r="P16" s="72"/>
      <c r="Q16" s="72"/>
      <c r="R16" s="73"/>
      <c r="S16" s="78"/>
      <c r="T16" s="72"/>
      <c r="U16" s="72"/>
      <c r="V16" s="73"/>
      <c r="W16" s="78"/>
      <c r="X16" s="72"/>
      <c r="Y16" s="72"/>
      <c r="Z16" s="73"/>
      <c r="AA16" s="78"/>
      <c r="AB16" s="72"/>
      <c r="AC16" s="72"/>
      <c r="AD16" s="73"/>
      <c r="AE16" s="13"/>
      <c r="AF16" s="14"/>
      <c r="AG16" s="15"/>
      <c r="AH16" s="16"/>
      <c r="AI16" s="17"/>
      <c r="AJ16" s="18"/>
    </row>
    <row r="17" spans="1:36" ht="24" customHeight="1">
      <c r="A17" s="20"/>
      <c r="B17" s="21"/>
      <c r="C17" s="37" t="s">
        <v>164</v>
      </c>
      <c r="D17" s="23" t="s">
        <v>133</v>
      </c>
      <c r="E17" s="38">
        <v>0.58472222222222225</v>
      </c>
      <c r="F17" s="24" t="s">
        <v>135</v>
      </c>
      <c r="G17" s="22" t="s">
        <v>165</v>
      </c>
      <c r="H17" s="23" t="s">
        <v>133</v>
      </c>
      <c r="I17" s="22" t="s">
        <v>166</v>
      </c>
      <c r="J17" s="24" t="s">
        <v>135</v>
      </c>
      <c r="K17" s="39"/>
      <c r="M17" s="28"/>
      <c r="N17" s="27"/>
      <c r="O17" s="1"/>
      <c r="Q17" s="28"/>
      <c r="R17" s="27"/>
      <c r="S17" s="1"/>
      <c r="U17" s="1"/>
      <c r="V17" s="27"/>
      <c r="W17" s="1"/>
      <c r="Y17" s="28"/>
      <c r="Z17" s="27"/>
      <c r="AA17" s="25"/>
      <c r="AB17" s="29"/>
      <c r="AC17" s="29"/>
      <c r="AD17" s="27"/>
      <c r="AE17" s="31"/>
      <c r="AF17" s="20">
        <v>12</v>
      </c>
      <c r="AG17" s="32">
        <f>(AE17*60)+(AF17*70)</f>
        <v>840</v>
      </c>
      <c r="AH17" s="21"/>
      <c r="AI17" s="21"/>
      <c r="AJ17" s="33">
        <f>AG17</f>
        <v>840</v>
      </c>
    </row>
    <row r="18" spans="1:36">
      <c r="A18" s="14">
        <v>7</v>
      </c>
      <c r="B18" s="36" t="s">
        <v>167</v>
      </c>
      <c r="C18" s="86" t="s">
        <v>160</v>
      </c>
      <c r="D18" s="87"/>
      <c r="E18" s="87"/>
      <c r="F18" s="88"/>
      <c r="G18" s="86" t="s">
        <v>130</v>
      </c>
      <c r="H18" s="87"/>
      <c r="I18" s="87"/>
      <c r="J18" s="88"/>
      <c r="K18" s="86" t="s">
        <v>168</v>
      </c>
      <c r="L18" s="87"/>
      <c r="M18" s="87"/>
      <c r="N18" s="88"/>
      <c r="O18" s="78"/>
      <c r="P18" s="72"/>
      <c r="Q18" s="72"/>
      <c r="R18" s="73"/>
      <c r="S18" s="78"/>
      <c r="T18" s="72"/>
      <c r="U18" s="72"/>
      <c r="V18" s="73"/>
      <c r="W18" s="78"/>
      <c r="X18" s="72"/>
      <c r="Y18" s="72"/>
      <c r="Z18" s="73"/>
      <c r="AA18" s="78"/>
      <c r="AB18" s="72"/>
      <c r="AC18" s="72"/>
      <c r="AD18" s="73"/>
      <c r="AE18" s="13"/>
      <c r="AF18" s="14"/>
      <c r="AG18" s="15"/>
      <c r="AH18" s="16"/>
      <c r="AI18" s="17"/>
      <c r="AJ18" s="18"/>
    </row>
    <row r="19" spans="1:36" ht="23.5" customHeight="1">
      <c r="A19" s="14"/>
      <c r="B19" s="36"/>
      <c r="C19" s="40" t="s">
        <v>169</v>
      </c>
      <c r="D19" s="23" t="s">
        <v>133</v>
      </c>
      <c r="E19" s="41">
        <v>0.72291666666666665</v>
      </c>
      <c r="F19" s="24" t="s">
        <v>135</v>
      </c>
      <c r="G19" s="42" t="s">
        <v>170</v>
      </c>
      <c r="H19" s="23" t="s">
        <v>133</v>
      </c>
      <c r="I19" s="42" t="s">
        <v>171</v>
      </c>
      <c r="J19" s="24" t="s">
        <v>135</v>
      </c>
      <c r="K19" s="42" t="s">
        <v>172</v>
      </c>
      <c r="L19" s="23" t="s">
        <v>133</v>
      </c>
      <c r="M19" s="41">
        <v>0.68194444444444446</v>
      </c>
      <c r="N19" s="24" t="s">
        <v>135</v>
      </c>
      <c r="O19" s="25"/>
      <c r="Q19" s="1"/>
      <c r="R19" s="27"/>
      <c r="S19" s="25"/>
      <c r="U19" s="1"/>
      <c r="V19" s="27"/>
      <c r="W19" s="25"/>
      <c r="Y19" s="1"/>
      <c r="Z19" s="27"/>
      <c r="AA19" s="1"/>
      <c r="AC19" s="1"/>
      <c r="AD19" s="27"/>
      <c r="AE19" s="31"/>
      <c r="AF19" s="20">
        <v>20</v>
      </c>
      <c r="AG19" s="32">
        <f>(AE19*60)+(AF19*70)</f>
        <v>1400</v>
      </c>
      <c r="AH19" s="21"/>
      <c r="AI19" s="21"/>
      <c r="AJ19" s="33">
        <f>AG19</f>
        <v>1400</v>
      </c>
    </row>
    <row r="20" spans="1:36">
      <c r="A20" s="10">
        <v>8</v>
      </c>
      <c r="B20" s="43" t="s">
        <v>173</v>
      </c>
      <c r="C20" s="78" t="s">
        <v>174</v>
      </c>
      <c r="D20" s="72"/>
      <c r="E20" s="72"/>
      <c r="F20" s="73"/>
      <c r="G20" s="78" t="s">
        <v>131</v>
      </c>
      <c r="H20" s="72"/>
      <c r="I20" s="72"/>
      <c r="J20" s="73"/>
      <c r="K20" s="78"/>
      <c r="L20" s="72"/>
      <c r="M20" s="72"/>
      <c r="N20" s="73"/>
      <c r="O20" s="78"/>
      <c r="P20" s="72"/>
      <c r="Q20" s="72"/>
      <c r="R20" s="73"/>
      <c r="S20" s="78"/>
      <c r="T20" s="72"/>
      <c r="U20" s="72"/>
      <c r="V20" s="73"/>
      <c r="W20" s="78"/>
      <c r="X20" s="72"/>
      <c r="Y20" s="72"/>
      <c r="Z20" s="73"/>
      <c r="AA20" s="78"/>
      <c r="AB20" s="72"/>
      <c r="AC20" s="72"/>
      <c r="AD20" s="73"/>
      <c r="AE20" s="13"/>
      <c r="AF20" s="14"/>
      <c r="AG20" s="15"/>
      <c r="AH20" s="16"/>
      <c r="AI20" s="17"/>
      <c r="AJ20" s="18"/>
    </row>
    <row r="21" spans="1:36" ht="23.25" customHeight="1">
      <c r="A21" s="20"/>
      <c r="B21" s="21"/>
      <c r="C21" s="25" t="s">
        <v>136</v>
      </c>
      <c r="D21" s="26" t="s">
        <v>133</v>
      </c>
      <c r="E21" s="1" t="s">
        <v>175</v>
      </c>
      <c r="F21" s="27" t="s">
        <v>135</v>
      </c>
      <c r="G21" s="25" t="s">
        <v>136</v>
      </c>
      <c r="H21" s="26" t="s">
        <v>133</v>
      </c>
      <c r="I21" s="1" t="s">
        <v>176</v>
      </c>
      <c r="J21" s="27" t="s">
        <v>135</v>
      </c>
      <c r="K21" s="29"/>
      <c r="L21" s="30"/>
      <c r="M21" s="29"/>
      <c r="N21" s="27"/>
      <c r="O21" s="29"/>
      <c r="P21" s="30"/>
      <c r="Q21" s="29"/>
      <c r="R21" s="27"/>
      <c r="S21" s="29"/>
      <c r="T21" s="30"/>
      <c r="U21" s="29"/>
      <c r="V21" s="27"/>
      <c r="W21" s="29"/>
      <c r="X21" s="30"/>
      <c r="Y21" s="29"/>
      <c r="Z21" s="27"/>
      <c r="AA21" s="25"/>
      <c r="AB21" s="29"/>
      <c r="AC21" s="29"/>
      <c r="AD21" s="27"/>
      <c r="AE21" s="31">
        <v>4</v>
      </c>
      <c r="AF21" s="20"/>
      <c r="AG21" s="32">
        <f>(AE21*60)+(AF21*70)</f>
        <v>240</v>
      </c>
      <c r="AH21" s="21"/>
      <c r="AI21" s="21"/>
      <c r="AJ21" s="33">
        <f>AG21</f>
        <v>240</v>
      </c>
    </row>
    <row r="22" spans="1:36">
      <c r="A22" s="10">
        <v>9</v>
      </c>
      <c r="B22" s="44" t="s">
        <v>177</v>
      </c>
      <c r="C22" s="86" t="s">
        <v>178</v>
      </c>
      <c r="D22" s="87"/>
      <c r="E22" s="87"/>
      <c r="F22" s="88"/>
      <c r="G22" s="78" t="s">
        <v>144</v>
      </c>
      <c r="H22" s="72"/>
      <c r="I22" s="72"/>
      <c r="J22" s="73"/>
      <c r="K22" s="78" t="s">
        <v>145</v>
      </c>
      <c r="L22" s="72"/>
      <c r="M22" s="72"/>
      <c r="N22" s="73"/>
      <c r="O22" s="78" t="s">
        <v>131</v>
      </c>
      <c r="P22" s="72"/>
      <c r="Q22" s="72"/>
      <c r="R22" s="73"/>
      <c r="S22" s="78"/>
      <c r="T22" s="72"/>
      <c r="U22" s="72"/>
      <c r="V22" s="73"/>
      <c r="W22" s="78"/>
      <c r="X22" s="72"/>
      <c r="Y22" s="72"/>
      <c r="Z22" s="73"/>
      <c r="AA22" s="78"/>
      <c r="AB22" s="72"/>
      <c r="AC22" s="72"/>
      <c r="AD22" s="73"/>
      <c r="AE22" s="19"/>
      <c r="AF22" s="43"/>
      <c r="AG22" s="43"/>
      <c r="AH22" s="43"/>
      <c r="AI22" s="45"/>
      <c r="AJ22" s="46"/>
    </row>
    <row r="23" spans="1:36" ht="23.15" customHeight="1">
      <c r="A23" s="20"/>
      <c r="B23" s="47"/>
      <c r="C23" s="40" t="s">
        <v>179</v>
      </c>
      <c r="D23" s="23" t="s">
        <v>133</v>
      </c>
      <c r="E23" s="42" t="s">
        <v>180</v>
      </c>
      <c r="F23" s="24" t="s">
        <v>135</v>
      </c>
      <c r="G23" s="25" t="s">
        <v>181</v>
      </c>
      <c r="H23" s="26" t="s">
        <v>133</v>
      </c>
      <c r="I23" s="48" t="s">
        <v>182</v>
      </c>
      <c r="J23" s="27" t="s">
        <v>135</v>
      </c>
      <c r="K23" s="25" t="s">
        <v>181</v>
      </c>
      <c r="L23" s="26" t="s">
        <v>133</v>
      </c>
      <c r="M23" s="49">
        <v>0.75</v>
      </c>
      <c r="N23" s="27" t="s">
        <v>135</v>
      </c>
      <c r="O23" s="25" t="s">
        <v>181</v>
      </c>
      <c r="P23" s="26" t="s">
        <v>133</v>
      </c>
      <c r="Q23" s="48" t="s">
        <v>183</v>
      </c>
      <c r="R23" s="27" t="s">
        <v>135</v>
      </c>
      <c r="S23" s="25"/>
      <c r="T23" s="26"/>
      <c r="U23" s="48"/>
      <c r="V23" s="27"/>
      <c r="W23" s="50"/>
      <c r="X23" s="26"/>
      <c r="Y23" s="48"/>
      <c r="Z23" s="27"/>
      <c r="AA23" s="25"/>
      <c r="AB23" s="26"/>
      <c r="AC23" s="48"/>
      <c r="AD23" s="27"/>
      <c r="AE23" s="51">
        <v>7</v>
      </c>
      <c r="AF23" s="20">
        <v>5</v>
      </c>
      <c r="AG23" s="32">
        <f>(AE23*60)+(AF23*70)</f>
        <v>770</v>
      </c>
      <c r="AH23" s="21"/>
      <c r="AI23" s="21"/>
      <c r="AJ23" s="33">
        <f>AG23</f>
        <v>770</v>
      </c>
    </row>
    <row r="24" spans="1:36" ht="19.5" thickBot="1">
      <c r="AE24" s="84" t="s">
        <v>184</v>
      </c>
      <c r="AF24" s="85"/>
      <c r="AG24" s="53">
        <f>SUM(AG6:AG23)</f>
        <v>6720</v>
      </c>
      <c r="AJ24" s="19"/>
    </row>
    <row r="25" spans="1:36" ht="19.5" thickTop="1">
      <c r="B25" s="6" t="s">
        <v>185</v>
      </c>
      <c r="C25" s="6" t="str">
        <f>BAHTTEXT(AG24)</f>
        <v>หกพันเจ็ดร้อยยี่สิบบาทถ้วน</v>
      </c>
      <c r="AE25" s="54"/>
      <c r="AF25" s="54"/>
      <c r="AG25" s="55"/>
      <c r="AJ25" s="19"/>
    </row>
    <row r="26" spans="1:36" ht="4.5" customHeight="1">
      <c r="A26" s="56"/>
      <c r="AF26" s="52"/>
      <c r="AG26" s="57"/>
    </row>
    <row r="27" spans="1:36" s="6" customFormat="1">
      <c r="A27" s="6" t="s">
        <v>186</v>
      </c>
      <c r="AE27" s="5"/>
    </row>
    <row r="28" spans="1:36" s="6" customFormat="1" ht="6" customHeight="1">
      <c r="AE28" s="5"/>
    </row>
    <row r="29" spans="1:36" s="6" customFormat="1">
      <c r="AE29" s="5"/>
    </row>
    <row r="30" spans="1:36" s="6" customFormat="1">
      <c r="A30" s="6" t="s">
        <v>187</v>
      </c>
      <c r="B30" s="58"/>
      <c r="C30" s="58"/>
      <c r="D30" s="58"/>
      <c r="E30" s="58"/>
      <c r="F30" s="58"/>
      <c r="G30" s="58"/>
      <c r="H30" s="58"/>
      <c r="I30" s="6" t="s">
        <v>188</v>
      </c>
      <c r="W30" s="6" t="s">
        <v>187</v>
      </c>
      <c r="X30" s="58"/>
      <c r="Y30" s="58"/>
      <c r="Z30" s="58"/>
      <c r="AA30" s="58"/>
      <c r="AB30" s="58"/>
      <c r="AC30" s="58"/>
      <c r="AD30" s="58"/>
      <c r="AE30" s="58"/>
      <c r="AF30" s="59" t="s">
        <v>189</v>
      </c>
    </row>
    <row r="31" spans="1:36" s="6" customFormat="1">
      <c r="C31" s="60" t="s">
        <v>190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5"/>
      <c r="AA31" s="5"/>
      <c r="AB31" s="5" t="s">
        <v>191</v>
      </c>
      <c r="AC31" s="5"/>
      <c r="AD31" s="5"/>
      <c r="AE31" s="5"/>
    </row>
    <row r="32" spans="1:36" s="6" customFormat="1">
      <c r="A32" s="61" t="s">
        <v>192</v>
      </c>
      <c r="Y32" s="6" t="s">
        <v>193</v>
      </c>
      <c r="AE32" s="5"/>
    </row>
    <row r="34" spans="33:36">
      <c r="AJ34" s="55"/>
    </row>
    <row r="38" spans="33:36">
      <c r="AJ38" s="55"/>
    </row>
    <row r="40" spans="33:36">
      <c r="AG40" s="57"/>
    </row>
    <row r="46" spans="33:36">
      <c r="AJ46" s="55"/>
    </row>
    <row r="48" spans="33:36">
      <c r="AG48" s="57"/>
    </row>
    <row r="51" spans="1:36">
      <c r="AE51" s="71"/>
      <c r="AF51" s="71"/>
      <c r="AG51" s="57"/>
      <c r="AJ51" s="55"/>
    </row>
    <row r="52" spans="1:36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1"/>
      <c r="AF52" s="71"/>
      <c r="AG52" s="57"/>
    </row>
    <row r="53" spans="1:36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5" spans="1:36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G55" s="71"/>
      <c r="AH55" s="71"/>
      <c r="AI55" s="71"/>
      <c r="AJ55" s="71"/>
    </row>
    <row r="59" spans="1:36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</row>
    <row r="60" spans="1:36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</row>
    <row r="61" spans="1:36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</row>
    <row r="62" spans="1:36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36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52"/>
    </row>
    <row r="64" spans="1:36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52"/>
      <c r="AH64" s="52"/>
    </row>
    <row r="65" spans="1:36">
      <c r="AF65" s="52"/>
      <c r="AG65" s="52"/>
      <c r="AH65" s="52"/>
    </row>
    <row r="66" spans="1:36">
      <c r="AF66" s="52"/>
      <c r="AG66" s="52"/>
    </row>
    <row r="67" spans="1:36">
      <c r="AE67" s="71"/>
      <c r="AF67" s="71"/>
      <c r="AG67" s="57"/>
    </row>
    <row r="68" spans="1:36">
      <c r="AG68" s="56"/>
    </row>
    <row r="70" spans="1:36">
      <c r="AJ70" s="55"/>
    </row>
    <row r="74" spans="1:36">
      <c r="AJ74" s="55"/>
    </row>
    <row r="76" spans="1:36">
      <c r="AG76" s="57"/>
    </row>
    <row r="78" spans="1:36">
      <c r="AJ78" s="55"/>
    </row>
    <row r="79" spans="1:36">
      <c r="AE79" s="71"/>
      <c r="AF79" s="71"/>
      <c r="AG79" s="57"/>
      <c r="AJ79" s="55"/>
    </row>
    <row r="80" spans="1:36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1"/>
      <c r="AF80" s="71"/>
      <c r="AG80" s="57"/>
    </row>
    <row r="81" spans="1:36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3" spans="1:36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G83" s="71"/>
      <c r="AH83" s="71"/>
      <c r="AI83" s="71"/>
      <c r="AJ83" s="71"/>
    </row>
    <row r="87" spans="1:36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</row>
    <row r="88" spans="1:36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</row>
    <row r="89" spans="1:36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</row>
    <row r="90" spans="1:36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52"/>
    </row>
    <row r="91" spans="1:36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52"/>
      <c r="AH91" s="52"/>
    </row>
    <row r="92" spans="1:36">
      <c r="AF92" s="52"/>
      <c r="AG92" s="52"/>
      <c r="AH92" s="52"/>
    </row>
    <row r="93" spans="1:36">
      <c r="AF93" s="52"/>
      <c r="AG93" s="52"/>
    </row>
    <row r="94" spans="1:36">
      <c r="AE94" s="71"/>
      <c r="AF94" s="71"/>
      <c r="AG94" s="57"/>
    </row>
    <row r="95" spans="1:36">
      <c r="AG95" s="56"/>
    </row>
    <row r="97" spans="1:36">
      <c r="AJ97" s="55"/>
    </row>
    <row r="101" spans="1:36">
      <c r="AJ101" s="55"/>
    </row>
    <row r="103" spans="1:36">
      <c r="AG103" s="57"/>
    </row>
    <row r="106" spans="1:36">
      <c r="AE106" s="71"/>
      <c r="AF106" s="71"/>
      <c r="AG106" s="57"/>
      <c r="AJ106" s="55"/>
    </row>
    <row r="107" spans="1:36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1"/>
      <c r="AF107" s="71"/>
      <c r="AG107" s="57"/>
    </row>
    <row r="108" spans="1:36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10" spans="1:36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G110" s="71"/>
      <c r="AH110" s="71"/>
      <c r="AI110" s="71"/>
      <c r="AJ110" s="71"/>
    </row>
    <row r="114" spans="1:36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</row>
    <row r="115" spans="1:36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</row>
    <row r="116" spans="1:3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</row>
    <row r="117" spans="1:36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52"/>
    </row>
    <row r="118" spans="1:36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52"/>
      <c r="AH118" s="52"/>
    </row>
    <row r="119" spans="1:36">
      <c r="AF119" s="52"/>
      <c r="AG119" s="52"/>
      <c r="AH119" s="52"/>
    </row>
    <row r="120" spans="1:36">
      <c r="AF120" s="52"/>
      <c r="AG120" s="52"/>
    </row>
    <row r="121" spans="1:36">
      <c r="AE121" s="71"/>
      <c r="AF121" s="71"/>
      <c r="AG121" s="57"/>
    </row>
    <row r="122" spans="1:36">
      <c r="AG122" s="56"/>
    </row>
    <row r="124" spans="1:36">
      <c r="AJ124" s="55"/>
    </row>
    <row r="128" spans="1:36">
      <c r="AJ128" s="55"/>
    </row>
    <row r="130" spans="1:36">
      <c r="AG130" s="57"/>
    </row>
    <row r="132" spans="1:36">
      <c r="AJ132" s="55"/>
    </row>
    <row r="133" spans="1:36">
      <c r="AE133" s="71"/>
      <c r="AF133" s="71"/>
      <c r="AG133" s="57"/>
      <c r="AJ133" s="55"/>
    </row>
    <row r="134" spans="1:36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1"/>
      <c r="AF134" s="71"/>
      <c r="AG134" s="57"/>
    </row>
    <row r="135" spans="1:36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7" spans="1:36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G137" s="71"/>
      <c r="AH137" s="71"/>
      <c r="AI137" s="71"/>
      <c r="AJ137" s="71"/>
    </row>
    <row r="140" spans="1:36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</row>
    <row r="141" spans="1:36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</row>
    <row r="142" spans="1:36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</row>
    <row r="143" spans="1:36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52"/>
    </row>
    <row r="144" spans="1:36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52"/>
      <c r="AH144" s="52"/>
    </row>
    <row r="145" spans="1:36">
      <c r="AF145" s="52"/>
      <c r="AG145" s="52"/>
      <c r="AH145" s="52"/>
    </row>
    <row r="146" spans="1:36">
      <c r="AF146" s="52"/>
      <c r="AG146" s="52"/>
    </row>
    <row r="147" spans="1:36">
      <c r="AE147" s="71"/>
      <c r="AF147" s="71"/>
      <c r="AG147" s="57"/>
    </row>
    <row r="148" spans="1:36">
      <c r="AG148" s="56"/>
    </row>
    <row r="150" spans="1:36">
      <c r="AJ150" s="55"/>
    </row>
    <row r="154" spans="1:36">
      <c r="AJ154" s="55"/>
    </row>
    <row r="156" spans="1:36">
      <c r="AG156" s="57"/>
    </row>
    <row r="159" spans="1:36">
      <c r="AE159" s="71"/>
      <c r="AF159" s="71"/>
      <c r="AG159" s="57"/>
      <c r="AJ159" s="55"/>
    </row>
    <row r="160" spans="1:36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1"/>
      <c r="AF160" s="71"/>
      <c r="AG160" s="57"/>
    </row>
    <row r="161" spans="1:36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3" spans="1:36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G163" s="71"/>
      <c r="AH163" s="71"/>
      <c r="AI163" s="71"/>
      <c r="AJ163" s="71"/>
    </row>
    <row r="166" spans="1:3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</row>
    <row r="167" spans="1:36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</row>
    <row r="168" spans="1:36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</row>
    <row r="169" spans="1:36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52"/>
    </row>
    <row r="170" spans="1:36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52"/>
      <c r="AH170" s="52"/>
    </row>
    <row r="171" spans="1:36">
      <c r="AF171" s="52"/>
      <c r="AG171" s="52"/>
      <c r="AH171" s="52"/>
    </row>
    <row r="172" spans="1:36">
      <c r="AF172" s="52"/>
      <c r="AG172" s="52"/>
    </row>
    <row r="173" spans="1:36">
      <c r="AE173" s="71"/>
      <c r="AF173" s="71"/>
      <c r="AG173" s="57"/>
    </row>
    <row r="174" spans="1:36">
      <c r="AG174" s="56"/>
    </row>
    <row r="176" spans="1:36">
      <c r="AJ176" s="55"/>
    </row>
    <row r="180" spans="1:36">
      <c r="AJ180" s="55"/>
    </row>
    <row r="182" spans="1:36">
      <c r="AG182" s="57"/>
    </row>
    <row r="185" spans="1:36">
      <c r="AE185" s="71"/>
      <c r="AF185" s="71"/>
      <c r="AG185" s="57"/>
      <c r="AJ185" s="55"/>
    </row>
    <row r="186" spans="1:3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1"/>
      <c r="AF186" s="71"/>
      <c r="AG186" s="57"/>
    </row>
    <row r="187" spans="1:36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9" spans="1:36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G189" s="71"/>
      <c r="AH189" s="71"/>
      <c r="AI189" s="71"/>
      <c r="AJ189" s="71"/>
    </row>
    <row r="193" spans="1:36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</row>
    <row r="194" spans="1:36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</row>
    <row r="195" spans="1:36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</row>
    <row r="196" spans="1:36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52"/>
    </row>
    <row r="197" spans="1:36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52"/>
      <c r="AH197" s="52"/>
    </row>
    <row r="198" spans="1:36">
      <c r="AF198" s="52"/>
      <c r="AG198" s="52"/>
      <c r="AH198" s="52"/>
    </row>
    <row r="199" spans="1:36">
      <c r="AF199" s="52"/>
      <c r="AG199" s="52"/>
    </row>
    <row r="200" spans="1:36">
      <c r="AE200" s="71"/>
      <c r="AF200" s="71"/>
      <c r="AG200" s="57"/>
    </row>
    <row r="201" spans="1:36">
      <c r="AG201" s="56"/>
    </row>
    <row r="203" spans="1:36">
      <c r="AJ203" s="55"/>
    </row>
    <row r="207" spans="1:36">
      <c r="AJ207" s="55"/>
    </row>
    <row r="209" spans="1:36">
      <c r="AG209" s="57"/>
    </row>
    <row r="212" spans="1:36">
      <c r="AE212" s="71"/>
      <c r="AF212" s="71"/>
      <c r="AG212" s="57"/>
      <c r="AJ212" s="55"/>
    </row>
    <row r="213" spans="1:36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1"/>
      <c r="AF213" s="71"/>
      <c r="AG213" s="57"/>
    </row>
    <row r="214" spans="1:36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6" spans="1:3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G216" s="71"/>
      <c r="AH216" s="71"/>
      <c r="AI216" s="71"/>
      <c r="AJ216" s="71"/>
    </row>
    <row r="219" spans="1:36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</row>
    <row r="220" spans="1:36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</row>
    <row r="221" spans="1:36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</row>
    <row r="222" spans="1:36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52"/>
    </row>
    <row r="223" spans="1:36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52"/>
      <c r="AH223" s="52"/>
    </row>
    <row r="224" spans="1:36">
      <c r="AF224" s="52"/>
      <c r="AG224" s="52"/>
      <c r="AH224" s="52"/>
    </row>
    <row r="225" spans="1:36">
      <c r="AF225" s="52"/>
      <c r="AG225" s="52"/>
    </row>
    <row r="226" spans="1:36">
      <c r="AE226" s="71"/>
      <c r="AF226" s="71"/>
      <c r="AG226" s="57"/>
    </row>
    <row r="227" spans="1:36">
      <c r="AG227" s="56"/>
    </row>
    <row r="229" spans="1:36">
      <c r="AJ229" s="55"/>
    </row>
    <row r="233" spans="1:36">
      <c r="AJ233" s="55"/>
    </row>
    <row r="235" spans="1:36">
      <c r="AG235" s="57"/>
    </row>
    <row r="238" spans="1:36">
      <c r="AE238" s="71"/>
      <c r="AF238" s="71"/>
      <c r="AG238" s="57"/>
      <c r="AJ238" s="55"/>
    </row>
    <row r="239" spans="1:36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1"/>
      <c r="AF239" s="71"/>
      <c r="AG239" s="57"/>
    </row>
    <row r="240" spans="1:36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2" spans="1:36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G242" s="71"/>
      <c r="AH242" s="71"/>
      <c r="AI242" s="71"/>
      <c r="AJ242" s="71"/>
    </row>
    <row r="245" spans="1:36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</row>
    <row r="246" spans="1:3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</row>
    <row r="247" spans="1:36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</row>
    <row r="248" spans="1:36"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52"/>
    </row>
    <row r="249" spans="1:36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52"/>
      <c r="AH249" s="52"/>
    </row>
    <row r="250" spans="1:36">
      <c r="AF250" s="52"/>
      <c r="AG250" s="52"/>
      <c r="AH250" s="52"/>
    </row>
    <row r="251" spans="1:36">
      <c r="AF251" s="52"/>
      <c r="AG251" s="52"/>
    </row>
    <row r="252" spans="1:36">
      <c r="AE252" s="71"/>
      <c r="AF252" s="71"/>
      <c r="AG252" s="57"/>
    </row>
    <row r="253" spans="1:36">
      <c r="AG253" s="56"/>
    </row>
    <row r="255" spans="1:36">
      <c r="AJ255" s="55"/>
    </row>
    <row r="259" spans="1:36">
      <c r="AJ259" s="55"/>
    </row>
    <row r="261" spans="1:36">
      <c r="AG261" s="57"/>
    </row>
    <row r="264" spans="1:36">
      <c r="AE264" s="71"/>
      <c r="AF264" s="71"/>
      <c r="AG264" s="57"/>
      <c r="AJ264" s="55"/>
    </row>
    <row r="265" spans="1:36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1"/>
      <c r="AF265" s="71"/>
      <c r="AG265" s="57"/>
    </row>
    <row r="266" spans="1:3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8" spans="1:36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G268" s="71"/>
      <c r="AH268" s="71"/>
      <c r="AI268" s="71"/>
      <c r="AJ268" s="71"/>
    </row>
    <row r="271" spans="1:36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</row>
    <row r="272" spans="1:36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</row>
    <row r="273" spans="1:36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</row>
    <row r="274" spans="1:36"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52"/>
    </row>
    <row r="275" spans="1:36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52"/>
      <c r="AH275" s="52"/>
    </row>
    <row r="276" spans="1:36">
      <c r="AF276" s="52"/>
      <c r="AG276" s="52"/>
      <c r="AH276" s="52"/>
    </row>
    <row r="277" spans="1:36">
      <c r="AF277" s="52"/>
      <c r="AG277" s="52"/>
    </row>
    <row r="278" spans="1:36">
      <c r="AE278" s="71"/>
      <c r="AF278" s="71"/>
      <c r="AG278" s="57"/>
    </row>
    <row r="279" spans="1:36">
      <c r="AG279" s="56"/>
    </row>
    <row r="281" spans="1:36">
      <c r="AJ281" s="55"/>
    </row>
    <row r="285" spans="1:36">
      <c r="AJ285" s="55"/>
    </row>
    <row r="287" spans="1:36">
      <c r="AG287" s="57"/>
    </row>
    <row r="290" spans="1:36">
      <c r="AE290" s="71"/>
      <c r="AF290" s="71"/>
      <c r="AG290" s="57"/>
      <c r="AJ290" s="55"/>
    </row>
    <row r="291" spans="1:36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1"/>
      <c r="AF291" s="71"/>
      <c r="AG291" s="57"/>
    </row>
    <row r="292" spans="1:36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4" spans="1:36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G294" s="71"/>
      <c r="AH294" s="71"/>
      <c r="AI294" s="71"/>
      <c r="AJ294" s="71"/>
    </row>
    <row r="297" spans="1:36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</row>
    <row r="298" spans="1:36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</row>
    <row r="299" spans="1:36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</row>
    <row r="300" spans="1:36"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52"/>
    </row>
    <row r="301" spans="1:36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52"/>
      <c r="AH301" s="52"/>
    </row>
    <row r="302" spans="1:36">
      <c r="AF302" s="52"/>
      <c r="AG302" s="52"/>
      <c r="AH302" s="52"/>
    </row>
    <row r="303" spans="1:36">
      <c r="AF303" s="52"/>
      <c r="AG303" s="52"/>
    </row>
    <row r="304" spans="1:36">
      <c r="AE304" s="71"/>
      <c r="AF304" s="71"/>
      <c r="AG304" s="57"/>
    </row>
    <row r="305" spans="1:36">
      <c r="AG305" s="56"/>
    </row>
    <row r="307" spans="1:36">
      <c r="AJ307" s="55"/>
    </row>
    <row r="311" spans="1:36">
      <c r="AJ311" s="55"/>
    </row>
    <row r="313" spans="1:36">
      <c r="AG313" s="57"/>
    </row>
    <row r="316" spans="1:36">
      <c r="AE316" s="71"/>
      <c r="AF316" s="71"/>
      <c r="AG316" s="57"/>
      <c r="AJ316" s="55"/>
    </row>
    <row r="317" spans="1:36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1"/>
      <c r="AF317" s="71"/>
      <c r="AG317" s="57"/>
    </row>
    <row r="318" spans="1:36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20" spans="1:36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G320" s="71"/>
      <c r="AH320" s="71"/>
      <c r="AI320" s="71"/>
      <c r="AJ320" s="71"/>
    </row>
    <row r="323" spans="1:36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</row>
    <row r="324" spans="1:36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</row>
    <row r="325" spans="1:36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</row>
    <row r="326" spans="1:36"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52"/>
    </row>
    <row r="327" spans="1:36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52"/>
      <c r="AH327" s="52"/>
    </row>
    <row r="328" spans="1:36">
      <c r="AF328" s="52"/>
      <c r="AG328" s="52"/>
      <c r="AH328" s="52"/>
    </row>
    <row r="329" spans="1:36">
      <c r="AF329" s="52"/>
      <c r="AG329" s="52"/>
    </row>
    <row r="330" spans="1:36">
      <c r="AE330" s="71"/>
      <c r="AF330" s="71"/>
      <c r="AG330" s="57"/>
      <c r="AH330" s="57"/>
    </row>
    <row r="333" spans="1:36">
      <c r="AJ333" s="55"/>
    </row>
    <row r="337" spans="1:36">
      <c r="AJ337" s="55"/>
    </row>
    <row r="342" spans="1:36">
      <c r="AE342" s="71"/>
      <c r="AF342" s="71"/>
      <c r="AG342" s="57"/>
      <c r="AJ342" s="55"/>
    </row>
    <row r="343" spans="1:36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1"/>
      <c r="AF343" s="71"/>
      <c r="AG343" s="57"/>
    </row>
    <row r="344" spans="1:36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6" spans="1:3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G346" s="71"/>
      <c r="AH346" s="71"/>
      <c r="AI346" s="71"/>
      <c r="AJ346" s="71"/>
    </row>
    <row r="349" spans="1:36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</row>
    <row r="350" spans="1:36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</row>
    <row r="351" spans="1:36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</row>
    <row r="352" spans="1:36"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52"/>
    </row>
    <row r="353" spans="15:36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52"/>
      <c r="AH353" s="52"/>
    </row>
    <row r="354" spans="15:36">
      <c r="AF354" s="52"/>
      <c r="AG354" s="52"/>
      <c r="AH354" s="52"/>
    </row>
    <row r="355" spans="15:36">
      <c r="AF355" s="52"/>
      <c r="AG355" s="52"/>
    </row>
    <row r="356" spans="15:36">
      <c r="AE356" s="71"/>
      <c r="AF356" s="71"/>
      <c r="AG356" s="57"/>
    </row>
    <row r="357" spans="15:36">
      <c r="AG357" s="56"/>
    </row>
    <row r="359" spans="15:36">
      <c r="AJ359" s="55"/>
    </row>
    <row r="363" spans="15:36">
      <c r="AJ363" s="55"/>
    </row>
    <row r="365" spans="15:36">
      <c r="AG365" s="57"/>
    </row>
    <row r="368" spans="15:36">
      <c r="AE368" s="71"/>
      <c r="AF368" s="71"/>
      <c r="AG368" s="57"/>
      <c r="AJ368" s="55"/>
    </row>
    <row r="369" spans="1:36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1"/>
      <c r="AF369" s="71"/>
      <c r="AG369" s="57"/>
    </row>
    <row r="370" spans="1:36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2" spans="1:36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G372" s="71"/>
      <c r="AH372" s="71"/>
      <c r="AI372" s="71"/>
      <c r="AJ372" s="71"/>
    </row>
    <row r="375" spans="1:36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</row>
    <row r="376" spans="1:3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</row>
    <row r="377" spans="1:36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</row>
    <row r="378" spans="1:36"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52"/>
    </row>
    <row r="379" spans="1:36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52"/>
      <c r="AH379" s="52"/>
    </row>
    <row r="380" spans="1:36">
      <c r="AF380" s="52"/>
      <c r="AG380" s="52"/>
      <c r="AH380" s="52"/>
    </row>
    <row r="381" spans="1:36">
      <c r="AF381" s="52"/>
      <c r="AG381" s="52"/>
    </row>
    <row r="382" spans="1:36">
      <c r="AE382" s="71"/>
      <c r="AF382" s="71"/>
      <c r="AG382" s="57"/>
    </row>
    <row r="383" spans="1:36">
      <c r="AG383" s="56"/>
    </row>
    <row r="385" spans="1:36">
      <c r="AJ385" s="55"/>
    </row>
    <row r="389" spans="1:36">
      <c r="AJ389" s="55"/>
    </row>
    <row r="391" spans="1:36">
      <c r="AG391" s="57"/>
    </row>
    <row r="394" spans="1:36">
      <c r="AE394" s="71"/>
      <c r="AF394" s="71"/>
      <c r="AG394" s="57"/>
      <c r="AJ394" s="55"/>
    </row>
    <row r="395" spans="1:36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1"/>
      <c r="AF395" s="71"/>
      <c r="AG395" s="57"/>
    </row>
    <row r="396" spans="1:3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8" spans="1:36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G398" s="71"/>
      <c r="AH398" s="71"/>
      <c r="AI398" s="71"/>
      <c r="AJ398" s="71"/>
    </row>
    <row r="401" spans="1:36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</row>
    <row r="402" spans="1:36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</row>
    <row r="403" spans="1:36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</row>
    <row r="404" spans="1:36"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52"/>
    </row>
    <row r="405" spans="1:36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52"/>
      <c r="AH405" s="52"/>
    </row>
    <row r="406" spans="1:36">
      <c r="AF406" s="52"/>
      <c r="AG406" s="52"/>
      <c r="AH406" s="52"/>
    </row>
    <row r="407" spans="1:36">
      <c r="AF407" s="52"/>
      <c r="AG407" s="52"/>
    </row>
    <row r="408" spans="1:36">
      <c r="AE408" s="71"/>
      <c r="AF408" s="71"/>
      <c r="AG408" s="57"/>
    </row>
    <row r="409" spans="1:36">
      <c r="AG409" s="56"/>
    </row>
    <row r="411" spans="1:36">
      <c r="AJ411" s="55"/>
    </row>
    <row r="415" spans="1:36">
      <c r="AJ415" s="55"/>
    </row>
    <row r="417" spans="1:36">
      <c r="AG417" s="57"/>
    </row>
    <row r="420" spans="1:36">
      <c r="AE420" s="71"/>
      <c r="AF420" s="71"/>
      <c r="AG420" s="57"/>
      <c r="AJ420" s="55"/>
    </row>
    <row r="421" spans="1:36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1"/>
      <c r="AF421" s="71"/>
      <c r="AG421" s="57"/>
    </row>
    <row r="422" spans="1:36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4" spans="1:36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G424" s="71"/>
      <c r="AH424" s="71"/>
      <c r="AI424" s="71"/>
      <c r="AJ424" s="71"/>
    </row>
    <row r="427" spans="1:36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</row>
    <row r="428" spans="1:36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</row>
    <row r="429" spans="1:36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</row>
    <row r="430" spans="1:36"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52"/>
    </row>
    <row r="431" spans="1:36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52"/>
      <c r="AH431" s="52"/>
    </row>
    <row r="432" spans="1:36">
      <c r="AF432" s="52"/>
      <c r="AG432" s="52"/>
      <c r="AH432" s="52"/>
    </row>
    <row r="433" spans="1:36">
      <c r="AF433" s="52"/>
      <c r="AG433" s="52"/>
    </row>
    <row r="434" spans="1:36">
      <c r="AE434" s="71"/>
      <c r="AF434" s="71"/>
      <c r="AG434" s="57"/>
    </row>
    <row r="435" spans="1:36">
      <c r="AG435" s="56"/>
    </row>
    <row r="437" spans="1:36">
      <c r="AJ437" s="55"/>
    </row>
    <row r="441" spans="1:36">
      <c r="AJ441" s="55"/>
    </row>
    <row r="443" spans="1:36">
      <c r="AG443" s="57"/>
    </row>
    <row r="446" spans="1:36">
      <c r="AE446" s="71"/>
      <c r="AF446" s="71"/>
      <c r="AG446" s="57"/>
      <c r="AJ446" s="55"/>
    </row>
    <row r="447" spans="1:36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1"/>
      <c r="AF447" s="71"/>
      <c r="AG447" s="57"/>
    </row>
    <row r="448" spans="1:36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50" spans="1:36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G450" s="71"/>
      <c r="AH450" s="71"/>
      <c r="AI450" s="71"/>
      <c r="AJ450" s="71"/>
    </row>
    <row r="453" spans="1:36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</row>
    <row r="454" spans="1:36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</row>
    <row r="455" spans="1:36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</row>
    <row r="456" spans="1:36"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52"/>
    </row>
    <row r="457" spans="1:36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52"/>
      <c r="AH457" s="52"/>
    </row>
    <row r="458" spans="1:36">
      <c r="AF458" s="52"/>
      <c r="AG458" s="52"/>
      <c r="AH458" s="52"/>
    </row>
    <row r="459" spans="1:36">
      <c r="AF459" s="52"/>
      <c r="AG459" s="52"/>
    </row>
    <row r="460" spans="1:36">
      <c r="AE460" s="71"/>
      <c r="AF460" s="71"/>
      <c r="AG460" s="57"/>
    </row>
    <row r="461" spans="1:36">
      <c r="AG461" s="56"/>
    </row>
    <row r="463" spans="1:36">
      <c r="AJ463" s="55"/>
    </row>
    <row r="467" spans="1:36">
      <c r="AJ467" s="55"/>
    </row>
    <row r="469" spans="1:36">
      <c r="AG469" s="57"/>
    </row>
    <row r="472" spans="1:36">
      <c r="AE472" s="71"/>
      <c r="AF472" s="71"/>
      <c r="AG472" s="57"/>
      <c r="AJ472" s="55"/>
    </row>
    <row r="473" spans="1:36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1"/>
      <c r="AF473" s="71"/>
      <c r="AG473" s="57"/>
    </row>
    <row r="474" spans="1:36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6" spans="1:3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G476" s="71"/>
      <c r="AH476" s="71"/>
      <c r="AI476" s="71"/>
      <c r="AJ476" s="71"/>
    </row>
    <row r="479" spans="1:36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</row>
    <row r="480" spans="1:36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</row>
    <row r="481" spans="1:36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</row>
    <row r="482" spans="1:36">
      <c r="A482" s="14" t="s">
        <v>194</v>
      </c>
      <c r="B482" s="14" t="s">
        <v>120</v>
      </c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82" t="s">
        <v>121</v>
      </c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83"/>
      <c r="AG482" s="14"/>
      <c r="AH482" s="16"/>
      <c r="AI482" s="16"/>
      <c r="AJ482" s="18"/>
    </row>
    <row r="483" spans="1:36">
      <c r="A483" s="14" t="s">
        <v>195</v>
      </c>
      <c r="B483" s="1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79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1"/>
      <c r="AG483" s="14" t="s">
        <v>196</v>
      </c>
      <c r="AH483" s="14" t="s">
        <v>197</v>
      </c>
      <c r="AI483" s="16" t="s">
        <v>198</v>
      </c>
      <c r="AJ483" s="18" t="s">
        <v>126</v>
      </c>
    </row>
    <row r="484" spans="1:36">
      <c r="A484" s="1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0" t="s">
        <v>199</v>
      </c>
      <c r="AF484" s="10"/>
      <c r="AG484" s="14" t="s">
        <v>200</v>
      </c>
      <c r="AH484" s="14" t="s">
        <v>201</v>
      </c>
      <c r="AI484" s="16" t="s">
        <v>202</v>
      </c>
      <c r="AJ484" s="18"/>
    </row>
    <row r="485" spans="1:36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0" t="s">
        <v>203</v>
      </c>
      <c r="AF485" s="20" t="s">
        <v>204</v>
      </c>
      <c r="AG485" s="20"/>
      <c r="AH485" s="21"/>
      <c r="AI485" s="21"/>
      <c r="AJ485" s="63"/>
    </row>
    <row r="486" spans="1:36">
      <c r="A486" s="10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72"/>
      <c r="AF486" s="73"/>
      <c r="AG486" s="45"/>
      <c r="AH486" s="43"/>
      <c r="AI486" s="43"/>
      <c r="AJ486" s="46"/>
    </row>
    <row r="487" spans="1:36">
      <c r="A487" s="1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0"/>
      <c r="AF487" s="43"/>
      <c r="AG487" s="64"/>
      <c r="AH487" s="16"/>
      <c r="AI487" s="16"/>
      <c r="AJ487" s="18"/>
    </row>
    <row r="488" spans="1:36">
      <c r="A488" s="1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4"/>
      <c r="AF488" s="16"/>
      <c r="AG488" s="16"/>
      <c r="AH488" s="16"/>
      <c r="AI488" s="16"/>
      <c r="AJ488" s="18"/>
    </row>
    <row r="489" spans="1:36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0"/>
      <c r="AF489" s="21"/>
      <c r="AG489" s="21"/>
      <c r="AH489" s="21"/>
      <c r="AI489" s="21"/>
      <c r="AJ489" s="33"/>
    </row>
    <row r="490" spans="1:36">
      <c r="A490" s="10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65"/>
      <c r="AF490" s="66"/>
      <c r="AG490" s="66"/>
      <c r="AH490" s="66"/>
      <c r="AI490" s="66"/>
      <c r="AJ490" s="67"/>
    </row>
    <row r="491" spans="1:36">
      <c r="A491" s="1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0"/>
      <c r="AF491" s="43"/>
      <c r="AG491" s="43"/>
      <c r="AH491" s="43"/>
      <c r="AI491" s="43"/>
      <c r="AJ491" s="46"/>
    </row>
    <row r="492" spans="1:36">
      <c r="A492" s="1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4"/>
      <c r="AF492" s="16"/>
      <c r="AG492" s="16"/>
      <c r="AH492" s="16"/>
      <c r="AI492" s="16"/>
      <c r="AJ492" s="18"/>
    </row>
    <row r="493" spans="1:36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0"/>
      <c r="AF493" s="21"/>
      <c r="AG493" s="21"/>
      <c r="AH493" s="21"/>
      <c r="AI493" s="21"/>
      <c r="AJ493" s="33"/>
    </row>
    <row r="494" spans="1:36">
      <c r="A494" s="10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65"/>
      <c r="AF494" s="66"/>
      <c r="AG494" s="66"/>
      <c r="AH494" s="43"/>
      <c r="AI494" s="66"/>
      <c r="AJ494" s="67"/>
    </row>
    <row r="495" spans="1:36">
      <c r="A495" s="1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0"/>
      <c r="AF495" s="43"/>
      <c r="AG495" s="68"/>
      <c r="AH495" s="43"/>
      <c r="AI495" s="43"/>
      <c r="AJ495" s="46"/>
    </row>
    <row r="496" spans="1:36">
      <c r="A496" s="1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4"/>
      <c r="AF496" s="16"/>
      <c r="AG496" s="16"/>
      <c r="AH496" s="16"/>
      <c r="AI496" s="16"/>
      <c r="AJ496" s="18"/>
    </row>
    <row r="497" spans="1:36">
      <c r="A497" s="14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14"/>
      <c r="AF497" s="16"/>
      <c r="AG497" s="36"/>
      <c r="AH497" s="16"/>
      <c r="AI497" s="16"/>
      <c r="AJ497" s="18"/>
    </row>
    <row r="498" spans="1:36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74"/>
      <c r="AF498" s="75"/>
      <c r="AG498" s="69"/>
      <c r="AH498" s="21"/>
      <c r="AI498" s="21"/>
      <c r="AJ498" s="33"/>
    </row>
    <row r="499" spans="1:36">
      <c r="A499" s="76" t="s">
        <v>205</v>
      </c>
      <c r="B499" s="76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2" t="s">
        <v>206</v>
      </c>
      <c r="AF499" s="73"/>
      <c r="AG499" s="70"/>
    </row>
    <row r="500" spans="1:36">
      <c r="A500" s="71" t="s">
        <v>207</v>
      </c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2" spans="1:36">
      <c r="A502" s="71" t="s">
        <v>208</v>
      </c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G502" s="71" t="s">
        <v>209</v>
      </c>
      <c r="AH502" s="71"/>
      <c r="AI502" s="71"/>
      <c r="AJ502" s="71"/>
    </row>
    <row r="505" spans="1:36">
      <c r="A505" s="71" t="s">
        <v>210</v>
      </c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</row>
    <row r="506" spans="1:36">
      <c r="A506" s="71" t="s">
        <v>211</v>
      </c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</row>
    <row r="507" spans="1:36">
      <c r="A507" s="71" t="s">
        <v>212</v>
      </c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</row>
    <row r="508" spans="1:36">
      <c r="A508" s="10" t="s">
        <v>194</v>
      </c>
      <c r="B508" s="10" t="s">
        <v>120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78" t="s">
        <v>121</v>
      </c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3"/>
      <c r="AG508" s="10"/>
      <c r="AH508" s="43"/>
      <c r="AI508" s="43"/>
      <c r="AJ508" s="46"/>
    </row>
    <row r="509" spans="1:36">
      <c r="A509" s="14" t="s">
        <v>195</v>
      </c>
      <c r="B509" s="1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79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1"/>
      <c r="AG509" s="14" t="s">
        <v>196</v>
      </c>
      <c r="AH509" s="14" t="s">
        <v>197</v>
      </c>
      <c r="AI509" s="16" t="s">
        <v>198</v>
      </c>
      <c r="AJ509" s="18" t="s">
        <v>126</v>
      </c>
    </row>
    <row r="510" spans="1:36">
      <c r="A510" s="1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0" t="s">
        <v>199</v>
      </c>
      <c r="AF510" s="10"/>
      <c r="AG510" s="14" t="s">
        <v>200</v>
      </c>
      <c r="AH510" s="14" t="s">
        <v>201</v>
      </c>
      <c r="AI510" s="16" t="s">
        <v>202</v>
      </c>
      <c r="AJ510" s="18"/>
    </row>
    <row r="511" spans="1:36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0" t="s">
        <v>203</v>
      </c>
      <c r="AF511" s="20" t="s">
        <v>204</v>
      </c>
      <c r="AG511" s="20"/>
      <c r="AH511" s="21"/>
      <c r="AI511" s="21"/>
      <c r="AJ511" s="63"/>
    </row>
    <row r="512" spans="1:36">
      <c r="A512" s="10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72"/>
      <c r="AF512" s="73"/>
      <c r="AG512" s="45"/>
      <c r="AH512" s="43"/>
      <c r="AI512" s="43"/>
      <c r="AJ512" s="46"/>
    </row>
    <row r="513" spans="1:36">
      <c r="A513" s="1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0"/>
      <c r="AF513" s="43"/>
      <c r="AG513" s="64"/>
      <c r="AH513" s="16"/>
      <c r="AI513" s="16"/>
      <c r="AJ513" s="18"/>
    </row>
    <row r="514" spans="1:36">
      <c r="A514" s="1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4"/>
      <c r="AF514" s="16"/>
      <c r="AG514" s="16"/>
      <c r="AH514" s="16"/>
      <c r="AI514" s="16"/>
      <c r="AJ514" s="18"/>
    </row>
    <row r="515" spans="1:36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0"/>
      <c r="AF515" s="21"/>
      <c r="AG515" s="21"/>
      <c r="AH515" s="21"/>
      <c r="AI515" s="21"/>
      <c r="AJ515" s="33"/>
    </row>
    <row r="516" spans="1:36">
      <c r="A516" s="10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65"/>
      <c r="AF516" s="66"/>
      <c r="AG516" s="66"/>
      <c r="AH516" s="66"/>
      <c r="AI516" s="66"/>
      <c r="AJ516" s="67"/>
    </row>
    <row r="517" spans="1:36">
      <c r="A517" s="1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0"/>
      <c r="AF517" s="43"/>
      <c r="AG517" s="43"/>
      <c r="AH517" s="43"/>
      <c r="AI517" s="43"/>
      <c r="AJ517" s="46"/>
    </row>
    <row r="518" spans="1:36">
      <c r="A518" s="1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4"/>
      <c r="AF518" s="16"/>
      <c r="AG518" s="16"/>
      <c r="AH518" s="16"/>
      <c r="AI518" s="16"/>
      <c r="AJ518" s="18"/>
    </row>
    <row r="519" spans="1:36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0"/>
      <c r="AF519" s="21"/>
      <c r="AG519" s="21"/>
      <c r="AH519" s="21"/>
      <c r="AI519" s="21"/>
      <c r="AJ519" s="33"/>
    </row>
    <row r="520" spans="1:36">
      <c r="A520" s="10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65"/>
      <c r="AF520" s="66"/>
      <c r="AG520" s="66"/>
      <c r="AH520" s="43"/>
      <c r="AI520" s="66"/>
      <c r="AJ520" s="67"/>
    </row>
    <row r="521" spans="1:36">
      <c r="A521" s="1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0"/>
      <c r="AF521" s="43"/>
      <c r="AG521" s="68"/>
      <c r="AH521" s="43"/>
      <c r="AI521" s="43"/>
      <c r="AJ521" s="46"/>
    </row>
    <row r="522" spans="1:36">
      <c r="A522" s="1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4"/>
      <c r="AF522" s="16"/>
      <c r="AG522" s="16"/>
      <c r="AH522" s="16"/>
      <c r="AI522" s="16"/>
      <c r="AJ522" s="18"/>
    </row>
    <row r="523" spans="1:36">
      <c r="A523" s="14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14"/>
      <c r="AF523" s="16"/>
      <c r="AG523" s="36"/>
      <c r="AH523" s="16"/>
      <c r="AI523" s="16"/>
      <c r="AJ523" s="18"/>
    </row>
    <row r="524" spans="1:36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74"/>
      <c r="AF524" s="75"/>
      <c r="AG524" s="69"/>
      <c r="AH524" s="21"/>
      <c r="AI524" s="21"/>
      <c r="AJ524" s="33"/>
    </row>
    <row r="525" spans="1:36">
      <c r="A525" s="76" t="s">
        <v>205</v>
      </c>
      <c r="B525" s="76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2" t="s">
        <v>206</v>
      </c>
      <c r="AF525" s="73"/>
      <c r="AG525" s="70"/>
    </row>
    <row r="526" spans="1:36">
      <c r="A526" s="71" t="s">
        <v>207</v>
      </c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8" spans="1:36">
      <c r="A528" s="71" t="s">
        <v>208</v>
      </c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G528" s="71" t="s">
        <v>209</v>
      </c>
      <c r="AH528" s="71"/>
      <c r="AI528" s="71"/>
      <c r="AJ528" s="71"/>
    </row>
    <row r="531" spans="1:36">
      <c r="A531" s="71" t="s">
        <v>210</v>
      </c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</row>
    <row r="532" spans="1:36">
      <c r="A532" s="71" t="s">
        <v>211</v>
      </c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</row>
    <row r="533" spans="1:36">
      <c r="A533" s="71" t="s">
        <v>212</v>
      </c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</row>
    <row r="534" spans="1:36">
      <c r="A534" s="10" t="s">
        <v>194</v>
      </c>
      <c r="B534" s="10" t="s">
        <v>120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78" t="s">
        <v>121</v>
      </c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3"/>
      <c r="AG534" s="10"/>
      <c r="AH534" s="43"/>
      <c r="AI534" s="43"/>
      <c r="AJ534" s="46"/>
    </row>
    <row r="535" spans="1:36">
      <c r="A535" s="14" t="s">
        <v>195</v>
      </c>
      <c r="B535" s="1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79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1"/>
      <c r="AG535" s="14" t="s">
        <v>196</v>
      </c>
      <c r="AH535" s="14" t="s">
        <v>197</v>
      </c>
      <c r="AI535" s="16" t="s">
        <v>198</v>
      </c>
      <c r="AJ535" s="18" t="s">
        <v>126</v>
      </c>
    </row>
    <row r="536" spans="1:36">
      <c r="A536" s="1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0" t="s">
        <v>199</v>
      </c>
      <c r="AF536" s="10"/>
      <c r="AG536" s="14" t="s">
        <v>200</v>
      </c>
      <c r="AH536" s="14" t="s">
        <v>201</v>
      </c>
      <c r="AI536" s="16" t="s">
        <v>202</v>
      </c>
      <c r="AJ536" s="18"/>
    </row>
    <row r="537" spans="1:36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0" t="s">
        <v>203</v>
      </c>
      <c r="AF537" s="20" t="s">
        <v>204</v>
      </c>
      <c r="AG537" s="20"/>
      <c r="AH537" s="21"/>
      <c r="AI537" s="21"/>
      <c r="AJ537" s="63"/>
    </row>
    <row r="538" spans="1:36">
      <c r="A538" s="10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72"/>
      <c r="AF538" s="73"/>
      <c r="AG538" s="45"/>
      <c r="AH538" s="43"/>
      <c r="AI538" s="43"/>
      <c r="AJ538" s="46"/>
    </row>
    <row r="539" spans="1:36">
      <c r="A539" s="1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0"/>
      <c r="AF539" s="43"/>
      <c r="AG539" s="64"/>
      <c r="AH539" s="16"/>
      <c r="AI539" s="16"/>
      <c r="AJ539" s="18"/>
    </row>
    <row r="540" spans="1:36">
      <c r="A540" s="1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4"/>
      <c r="AF540" s="16"/>
      <c r="AG540" s="16"/>
      <c r="AH540" s="16"/>
      <c r="AI540" s="16"/>
      <c r="AJ540" s="18"/>
    </row>
    <row r="541" spans="1:36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0"/>
      <c r="AF541" s="21"/>
      <c r="AG541" s="21"/>
      <c r="AH541" s="21"/>
      <c r="AI541" s="21"/>
      <c r="AJ541" s="33"/>
    </row>
    <row r="542" spans="1:36">
      <c r="A542" s="10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65"/>
      <c r="AF542" s="66"/>
      <c r="AG542" s="66"/>
      <c r="AH542" s="66"/>
      <c r="AI542" s="66"/>
      <c r="AJ542" s="67"/>
    </row>
    <row r="543" spans="1:36">
      <c r="A543" s="1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0"/>
      <c r="AF543" s="43"/>
      <c r="AG543" s="43"/>
      <c r="AH543" s="43"/>
      <c r="AI543" s="43"/>
      <c r="AJ543" s="46"/>
    </row>
    <row r="544" spans="1:36">
      <c r="A544" s="1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4"/>
      <c r="AF544" s="16"/>
      <c r="AG544" s="16"/>
      <c r="AH544" s="16"/>
      <c r="AI544" s="16"/>
      <c r="AJ544" s="18"/>
    </row>
    <row r="545" spans="1:36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0"/>
      <c r="AF545" s="21"/>
      <c r="AG545" s="21"/>
      <c r="AH545" s="21"/>
      <c r="AI545" s="21"/>
      <c r="AJ545" s="33"/>
    </row>
    <row r="546" spans="1:36">
      <c r="A546" s="10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65"/>
      <c r="AF546" s="66"/>
      <c r="AG546" s="66"/>
      <c r="AH546" s="43"/>
      <c r="AI546" s="66"/>
      <c r="AJ546" s="67"/>
    </row>
    <row r="547" spans="1:36">
      <c r="A547" s="1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0"/>
      <c r="AF547" s="43"/>
      <c r="AG547" s="68"/>
      <c r="AH547" s="43"/>
      <c r="AI547" s="43"/>
      <c r="AJ547" s="46"/>
    </row>
    <row r="548" spans="1:36">
      <c r="A548" s="1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4"/>
      <c r="AF548" s="16"/>
      <c r="AG548" s="16"/>
      <c r="AH548" s="16"/>
      <c r="AI548" s="16"/>
      <c r="AJ548" s="18"/>
    </row>
    <row r="549" spans="1:36">
      <c r="A549" s="14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14"/>
      <c r="AF549" s="16"/>
      <c r="AG549" s="36"/>
      <c r="AH549" s="16"/>
      <c r="AI549" s="16"/>
      <c r="AJ549" s="18"/>
    </row>
    <row r="550" spans="1:36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74"/>
      <c r="AF550" s="75"/>
      <c r="AG550" s="69"/>
      <c r="AH550" s="21"/>
      <c r="AI550" s="21"/>
      <c r="AJ550" s="33"/>
    </row>
    <row r="551" spans="1:36">
      <c r="A551" s="76" t="s">
        <v>205</v>
      </c>
      <c r="B551" s="76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2" t="s">
        <v>206</v>
      </c>
      <c r="AF551" s="73"/>
      <c r="AG551" s="70"/>
    </row>
    <row r="552" spans="1:36">
      <c r="A552" s="71" t="s">
        <v>207</v>
      </c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4" spans="1:36">
      <c r="A554" s="71" t="s">
        <v>208</v>
      </c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G554" s="71" t="s">
        <v>209</v>
      </c>
      <c r="AH554" s="71"/>
      <c r="AI554" s="71"/>
      <c r="AJ554" s="71"/>
    </row>
    <row r="557" spans="1:36">
      <c r="A557" s="71" t="s">
        <v>210</v>
      </c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</row>
    <row r="558" spans="1:36">
      <c r="A558" s="71" t="s">
        <v>211</v>
      </c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</row>
    <row r="559" spans="1:36">
      <c r="A559" s="71" t="s">
        <v>212</v>
      </c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</row>
    <row r="560" spans="1:36">
      <c r="A560" s="10" t="s">
        <v>194</v>
      </c>
      <c r="B560" s="10" t="s">
        <v>120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78" t="s">
        <v>121</v>
      </c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3"/>
      <c r="AG560" s="10"/>
      <c r="AH560" s="43"/>
      <c r="AI560" s="43"/>
      <c r="AJ560" s="46"/>
    </row>
    <row r="561" spans="1:36">
      <c r="A561" s="14" t="s">
        <v>195</v>
      </c>
      <c r="B561" s="1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79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1"/>
      <c r="AG561" s="14" t="s">
        <v>196</v>
      </c>
      <c r="AH561" s="14" t="s">
        <v>197</v>
      </c>
      <c r="AI561" s="16" t="s">
        <v>198</v>
      </c>
      <c r="AJ561" s="18" t="s">
        <v>126</v>
      </c>
    </row>
    <row r="562" spans="1:36">
      <c r="A562" s="1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0" t="s">
        <v>199</v>
      </c>
      <c r="AF562" s="10"/>
      <c r="AG562" s="14" t="s">
        <v>200</v>
      </c>
      <c r="AH562" s="14" t="s">
        <v>201</v>
      </c>
      <c r="AI562" s="16" t="s">
        <v>202</v>
      </c>
      <c r="AJ562" s="18"/>
    </row>
    <row r="563" spans="1:36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0" t="s">
        <v>203</v>
      </c>
      <c r="AF563" s="20" t="s">
        <v>204</v>
      </c>
      <c r="AG563" s="20"/>
      <c r="AH563" s="21"/>
      <c r="AI563" s="21"/>
      <c r="AJ563" s="63"/>
    </row>
    <row r="564" spans="1:36">
      <c r="A564" s="10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72"/>
      <c r="AF564" s="73"/>
      <c r="AG564" s="45"/>
      <c r="AH564" s="43"/>
      <c r="AI564" s="43"/>
      <c r="AJ564" s="46"/>
    </row>
    <row r="565" spans="1:36">
      <c r="A565" s="1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0"/>
      <c r="AF565" s="43"/>
      <c r="AG565" s="64"/>
      <c r="AH565" s="16"/>
      <c r="AI565" s="16"/>
      <c r="AJ565" s="18"/>
    </row>
    <row r="566" spans="1:36">
      <c r="A566" s="1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4"/>
      <c r="AF566" s="16"/>
      <c r="AG566" s="16"/>
      <c r="AH566" s="16"/>
      <c r="AI566" s="16"/>
      <c r="AJ566" s="18"/>
    </row>
    <row r="567" spans="1:36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0"/>
      <c r="AF567" s="21"/>
      <c r="AG567" s="21"/>
      <c r="AH567" s="21"/>
      <c r="AI567" s="21"/>
      <c r="AJ567" s="33"/>
    </row>
    <row r="568" spans="1:36">
      <c r="A568" s="10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65"/>
      <c r="AF568" s="66"/>
      <c r="AG568" s="66"/>
      <c r="AH568" s="66"/>
      <c r="AI568" s="66"/>
      <c r="AJ568" s="67"/>
    </row>
    <row r="569" spans="1:36">
      <c r="A569" s="1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0"/>
      <c r="AF569" s="43"/>
      <c r="AG569" s="43"/>
      <c r="AH569" s="43"/>
      <c r="AI569" s="43"/>
      <c r="AJ569" s="46"/>
    </row>
    <row r="570" spans="1:36">
      <c r="A570" s="1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4"/>
      <c r="AF570" s="16"/>
      <c r="AG570" s="16"/>
      <c r="AH570" s="16"/>
      <c r="AI570" s="16"/>
      <c r="AJ570" s="18"/>
    </row>
    <row r="571" spans="1:36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0"/>
      <c r="AF571" s="21"/>
      <c r="AG571" s="21"/>
      <c r="AH571" s="21"/>
      <c r="AI571" s="21"/>
      <c r="AJ571" s="33"/>
    </row>
    <row r="572" spans="1:36">
      <c r="A572" s="10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65"/>
      <c r="AF572" s="66"/>
      <c r="AG572" s="66"/>
      <c r="AH572" s="43"/>
      <c r="AI572" s="66"/>
      <c r="AJ572" s="67"/>
    </row>
    <row r="573" spans="1:36">
      <c r="A573" s="1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0"/>
      <c r="AF573" s="43"/>
      <c r="AG573" s="68"/>
      <c r="AH573" s="43"/>
      <c r="AI573" s="43"/>
      <c r="AJ573" s="46"/>
    </row>
    <row r="574" spans="1:36">
      <c r="A574" s="1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4"/>
      <c r="AF574" s="16"/>
      <c r="AG574" s="16"/>
      <c r="AH574" s="16"/>
      <c r="AI574" s="16"/>
      <c r="AJ574" s="18"/>
    </row>
    <row r="575" spans="1:36">
      <c r="A575" s="14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14"/>
      <c r="AF575" s="16"/>
      <c r="AG575" s="36"/>
      <c r="AH575" s="16"/>
      <c r="AI575" s="16"/>
      <c r="AJ575" s="18"/>
    </row>
    <row r="576" spans="1:36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74"/>
      <c r="AF576" s="75"/>
      <c r="AG576" s="69"/>
      <c r="AH576" s="21"/>
      <c r="AI576" s="21"/>
      <c r="AJ576" s="33"/>
    </row>
    <row r="577" spans="1:36">
      <c r="A577" s="76" t="s">
        <v>205</v>
      </c>
      <c r="B577" s="76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2" t="s">
        <v>206</v>
      </c>
      <c r="AF577" s="73"/>
      <c r="AG577" s="70"/>
    </row>
    <row r="578" spans="1:36">
      <c r="A578" s="71" t="s">
        <v>207</v>
      </c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80" spans="1:36">
      <c r="A580" s="71" t="s">
        <v>208</v>
      </c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G580" s="71" t="s">
        <v>209</v>
      </c>
      <c r="AH580" s="71"/>
      <c r="AI580" s="71"/>
      <c r="AJ580" s="71"/>
    </row>
    <row r="583" spans="1:36">
      <c r="A583" s="71" t="s">
        <v>210</v>
      </c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</row>
    <row r="584" spans="1:36">
      <c r="A584" s="71" t="s">
        <v>211</v>
      </c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</row>
    <row r="585" spans="1:36">
      <c r="A585" s="71" t="s">
        <v>212</v>
      </c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</row>
    <row r="586" spans="1:36">
      <c r="A586" s="10" t="s">
        <v>194</v>
      </c>
      <c r="B586" s="10" t="s">
        <v>120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78" t="s">
        <v>121</v>
      </c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3"/>
      <c r="AG586" s="10"/>
      <c r="AH586" s="43"/>
      <c r="AI586" s="43"/>
      <c r="AJ586" s="46"/>
    </row>
    <row r="587" spans="1:36">
      <c r="A587" s="14" t="s">
        <v>195</v>
      </c>
      <c r="B587" s="1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79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1"/>
      <c r="AG587" s="14" t="s">
        <v>196</v>
      </c>
      <c r="AH587" s="14" t="s">
        <v>197</v>
      </c>
      <c r="AI587" s="16" t="s">
        <v>198</v>
      </c>
      <c r="AJ587" s="18" t="s">
        <v>126</v>
      </c>
    </row>
    <row r="588" spans="1:36">
      <c r="A588" s="1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0" t="s">
        <v>199</v>
      </c>
      <c r="AF588" s="10"/>
      <c r="AG588" s="14" t="s">
        <v>200</v>
      </c>
      <c r="AH588" s="14" t="s">
        <v>201</v>
      </c>
      <c r="AI588" s="16" t="s">
        <v>202</v>
      </c>
      <c r="AJ588" s="18"/>
    </row>
    <row r="589" spans="1:36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0" t="s">
        <v>203</v>
      </c>
      <c r="AF589" s="20" t="s">
        <v>204</v>
      </c>
      <c r="AG589" s="20"/>
      <c r="AH589" s="21"/>
      <c r="AI589" s="21"/>
      <c r="AJ589" s="63"/>
    </row>
    <row r="590" spans="1:36">
      <c r="A590" s="10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72"/>
      <c r="AF590" s="73"/>
      <c r="AG590" s="45"/>
      <c r="AH590" s="43"/>
      <c r="AI590" s="43"/>
      <c r="AJ590" s="46"/>
    </row>
    <row r="591" spans="1:36">
      <c r="A591" s="1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0"/>
      <c r="AF591" s="43"/>
      <c r="AG591" s="64"/>
      <c r="AH591" s="16"/>
      <c r="AI591" s="16"/>
      <c r="AJ591" s="18"/>
    </row>
    <row r="592" spans="1:36">
      <c r="A592" s="1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4"/>
      <c r="AF592" s="16"/>
      <c r="AG592" s="16"/>
      <c r="AH592" s="16"/>
      <c r="AI592" s="16"/>
      <c r="AJ592" s="18"/>
    </row>
    <row r="593" spans="1:36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0"/>
      <c r="AF593" s="21"/>
      <c r="AG593" s="21"/>
      <c r="AH593" s="21"/>
      <c r="AI593" s="21"/>
      <c r="AJ593" s="33"/>
    </row>
    <row r="594" spans="1:36">
      <c r="A594" s="10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65"/>
      <c r="AF594" s="66"/>
      <c r="AG594" s="66"/>
      <c r="AH594" s="66"/>
      <c r="AI594" s="66"/>
      <c r="AJ594" s="67"/>
    </row>
    <row r="595" spans="1:36">
      <c r="A595" s="1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0"/>
      <c r="AF595" s="43"/>
      <c r="AG595" s="43"/>
      <c r="AH595" s="43"/>
      <c r="AI595" s="43"/>
      <c r="AJ595" s="46"/>
    </row>
    <row r="596" spans="1:36">
      <c r="A596" s="1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4"/>
      <c r="AF596" s="16"/>
      <c r="AG596" s="16"/>
      <c r="AH596" s="16"/>
      <c r="AI596" s="16"/>
      <c r="AJ596" s="18"/>
    </row>
    <row r="597" spans="1:36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0"/>
      <c r="AF597" s="21"/>
      <c r="AG597" s="21"/>
      <c r="AH597" s="21"/>
      <c r="AI597" s="21"/>
      <c r="AJ597" s="33"/>
    </row>
    <row r="598" spans="1:36">
      <c r="A598" s="10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65"/>
      <c r="AF598" s="66"/>
      <c r="AG598" s="66"/>
      <c r="AH598" s="43"/>
      <c r="AI598" s="66"/>
      <c r="AJ598" s="67"/>
    </row>
    <row r="599" spans="1:36">
      <c r="A599" s="1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0"/>
      <c r="AF599" s="43"/>
      <c r="AG599" s="68"/>
      <c r="AH599" s="43"/>
      <c r="AI599" s="43"/>
      <c r="AJ599" s="46"/>
    </row>
    <row r="600" spans="1:36">
      <c r="A600" s="1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4"/>
      <c r="AF600" s="16"/>
      <c r="AG600" s="16"/>
      <c r="AH600" s="16"/>
      <c r="AI600" s="16"/>
      <c r="AJ600" s="18"/>
    </row>
    <row r="601" spans="1:36">
      <c r="A601" s="14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14"/>
      <c r="AF601" s="16"/>
      <c r="AG601" s="36"/>
      <c r="AH601" s="16"/>
      <c r="AI601" s="16"/>
      <c r="AJ601" s="18"/>
    </row>
    <row r="602" spans="1:36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74"/>
      <c r="AF602" s="75"/>
      <c r="AG602" s="69"/>
      <c r="AH602" s="21"/>
      <c r="AI602" s="21"/>
      <c r="AJ602" s="33"/>
    </row>
    <row r="603" spans="1:36">
      <c r="A603" s="76" t="s">
        <v>205</v>
      </c>
      <c r="B603" s="76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2" t="s">
        <v>206</v>
      </c>
      <c r="AF603" s="73"/>
      <c r="AG603" s="70"/>
    </row>
    <row r="604" spans="1:36">
      <c r="A604" s="71" t="s">
        <v>207</v>
      </c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6" spans="1:36">
      <c r="A606" s="71" t="s">
        <v>208</v>
      </c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G606" s="71" t="s">
        <v>209</v>
      </c>
      <c r="AH606" s="71"/>
      <c r="AI606" s="71"/>
      <c r="AJ606" s="71"/>
    </row>
    <row r="609" spans="1:36">
      <c r="A609" s="71" t="s">
        <v>210</v>
      </c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</row>
    <row r="610" spans="1:36">
      <c r="A610" s="71" t="s">
        <v>211</v>
      </c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</row>
    <row r="611" spans="1:36">
      <c r="A611" s="71" t="s">
        <v>212</v>
      </c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</row>
    <row r="612" spans="1:36">
      <c r="A612" s="10" t="s">
        <v>194</v>
      </c>
      <c r="B612" s="10" t="s">
        <v>120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78" t="s">
        <v>121</v>
      </c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3"/>
      <c r="AG612" s="10"/>
      <c r="AH612" s="43"/>
      <c r="AI612" s="43"/>
      <c r="AJ612" s="46"/>
    </row>
    <row r="613" spans="1:36">
      <c r="A613" s="14" t="s">
        <v>195</v>
      </c>
      <c r="B613" s="1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79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1"/>
      <c r="AG613" s="14" t="s">
        <v>196</v>
      </c>
      <c r="AH613" s="14" t="s">
        <v>197</v>
      </c>
      <c r="AI613" s="16" t="s">
        <v>198</v>
      </c>
      <c r="AJ613" s="18" t="s">
        <v>126</v>
      </c>
    </row>
    <row r="614" spans="1:36">
      <c r="A614" s="1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0" t="s">
        <v>199</v>
      </c>
      <c r="AF614" s="10"/>
      <c r="AG614" s="14" t="s">
        <v>200</v>
      </c>
      <c r="AH614" s="14" t="s">
        <v>201</v>
      </c>
      <c r="AI614" s="16" t="s">
        <v>202</v>
      </c>
      <c r="AJ614" s="18"/>
    </row>
    <row r="615" spans="1:36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0" t="s">
        <v>203</v>
      </c>
      <c r="AF615" s="20" t="s">
        <v>204</v>
      </c>
      <c r="AG615" s="20"/>
      <c r="AH615" s="21"/>
      <c r="AI615" s="21"/>
      <c r="AJ615" s="63"/>
    </row>
    <row r="616" spans="1:36">
      <c r="A616" s="10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72"/>
      <c r="AF616" s="73"/>
      <c r="AG616" s="45"/>
      <c r="AH616" s="43"/>
      <c r="AI616" s="43"/>
      <c r="AJ616" s="46"/>
    </row>
    <row r="617" spans="1:36">
      <c r="A617" s="1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0"/>
      <c r="AF617" s="43"/>
      <c r="AG617" s="64"/>
      <c r="AH617" s="16"/>
      <c r="AI617" s="16"/>
      <c r="AJ617" s="18"/>
    </row>
    <row r="618" spans="1:36">
      <c r="A618" s="1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4"/>
      <c r="AF618" s="16"/>
      <c r="AG618" s="16"/>
      <c r="AH618" s="16"/>
      <c r="AI618" s="16"/>
      <c r="AJ618" s="18"/>
    </row>
    <row r="619" spans="1:36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0"/>
      <c r="AF619" s="21"/>
      <c r="AG619" s="21"/>
      <c r="AH619" s="21"/>
      <c r="AI619" s="21"/>
      <c r="AJ619" s="33"/>
    </row>
    <row r="620" spans="1:36">
      <c r="A620" s="10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65"/>
      <c r="AF620" s="66"/>
      <c r="AG620" s="66"/>
      <c r="AH620" s="66"/>
      <c r="AI620" s="66"/>
      <c r="AJ620" s="67"/>
    </row>
    <row r="621" spans="1:36">
      <c r="A621" s="1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0"/>
      <c r="AF621" s="43"/>
      <c r="AG621" s="43"/>
      <c r="AH621" s="43"/>
      <c r="AI621" s="43"/>
      <c r="AJ621" s="46"/>
    </row>
    <row r="622" spans="1:36">
      <c r="A622" s="1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4"/>
      <c r="AF622" s="16"/>
      <c r="AG622" s="16"/>
      <c r="AH622" s="16"/>
      <c r="AI622" s="16"/>
      <c r="AJ622" s="18"/>
    </row>
    <row r="623" spans="1:36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0"/>
      <c r="AF623" s="21"/>
      <c r="AG623" s="21"/>
      <c r="AH623" s="21"/>
      <c r="AI623" s="21"/>
      <c r="AJ623" s="33"/>
    </row>
    <row r="624" spans="1:36">
      <c r="A624" s="10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65"/>
      <c r="AF624" s="66"/>
      <c r="AG624" s="66"/>
      <c r="AH624" s="43"/>
      <c r="AI624" s="66"/>
      <c r="AJ624" s="67"/>
    </row>
    <row r="625" spans="1:36">
      <c r="A625" s="1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0"/>
      <c r="AF625" s="43"/>
      <c r="AG625" s="68"/>
      <c r="AH625" s="43"/>
      <c r="AI625" s="43"/>
      <c r="AJ625" s="46"/>
    </row>
    <row r="626" spans="1:36">
      <c r="A626" s="1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4"/>
      <c r="AF626" s="16"/>
      <c r="AG626" s="16"/>
      <c r="AH626" s="16"/>
      <c r="AI626" s="16"/>
      <c r="AJ626" s="18"/>
    </row>
    <row r="627" spans="1:36">
      <c r="A627" s="14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14"/>
      <c r="AF627" s="16"/>
      <c r="AG627" s="36"/>
      <c r="AH627" s="16"/>
      <c r="AI627" s="16"/>
      <c r="AJ627" s="18"/>
    </row>
    <row r="628" spans="1:36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74"/>
      <c r="AF628" s="75"/>
      <c r="AG628" s="69"/>
      <c r="AH628" s="21"/>
      <c r="AI628" s="21"/>
      <c r="AJ628" s="33"/>
    </row>
    <row r="629" spans="1:36">
      <c r="A629" s="76" t="s">
        <v>205</v>
      </c>
      <c r="B629" s="76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2" t="s">
        <v>206</v>
      </c>
      <c r="AF629" s="73"/>
      <c r="AG629" s="70"/>
    </row>
    <row r="630" spans="1:36">
      <c r="A630" s="71" t="s">
        <v>207</v>
      </c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2" spans="1:36">
      <c r="A632" s="71" t="s">
        <v>208</v>
      </c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G632" s="71" t="s">
        <v>209</v>
      </c>
      <c r="AH632" s="71"/>
      <c r="AI632" s="71"/>
      <c r="AJ632" s="71"/>
    </row>
    <row r="635" spans="1:36">
      <c r="A635" s="71" t="s">
        <v>210</v>
      </c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</row>
    <row r="636" spans="1:36">
      <c r="A636" s="71" t="s">
        <v>211</v>
      </c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</row>
    <row r="637" spans="1:36">
      <c r="A637" s="71" t="s">
        <v>212</v>
      </c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</row>
    <row r="638" spans="1:36">
      <c r="A638" s="10" t="s">
        <v>194</v>
      </c>
      <c r="B638" s="10" t="s">
        <v>120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78" t="s">
        <v>121</v>
      </c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3"/>
      <c r="AG638" s="10"/>
      <c r="AH638" s="43"/>
      <c r="AI638" s="43"/>
      <c r="AJ638" s="46"/>
    </row>
    <row r="639" spans="1:36">
      <c r="A639" s="14" t="s">
        <v>195</v>
      </c>
      <c r="B639" s="1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79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1"/>
      <c r="AG639" s="14" t="s">
        <v>196</v>
      </c>
      <c r="AH639" s="14" t="s">
        <v>197</v>
      </c>
      <c r="AI639" s="16" t="s">
        <v>198</v>
      </c>
      <c r="AJ639" s="18" t="s">
        <v>126</v>
      </c>
    </row>
    <row r="640" spans="1:36">
      <c r="A640" s="1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0" t="s">
        <v>199</v>
      </c>
      <c r="AF640" s="10"/>
      <c r="AG640" s="14" t="s">
        <v>200</v>
      </c>
      <c r="AH640" s="14" t="s">
        <v>201</v>
      </c>
      <c r="AI640" s="16" t="s">
        <v>202</v>
      </c>
      <c r="AJ640" s="18"/>
    </row>
    <row r="641" spans="1:36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0" t="s">
        <v>203</v>
      </c>
      <c r="AF641" s="20" t="s">
        <v>204</v>
      </c>
      <c r="AG641" s="20"/>
      <c r="AH641" s="21"/>
      <c r="AI641" s="21"/>
      <c r="AJ641" s="63"/>
    </row>
    <row r="642" spans="1:36">
      <c r="A642" s="10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72"/>
      <c r="AF642" s="73"/>
      <c r="AG642" s="45"/>
      <c r="AH642" s="43"/>
      <c r="AI642" s="43"/>
      <c r="AJ642" s="46"/>
    </row>
    <row r="643" spans="1:36">
      <c r="A643" s="1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0"/>
      <c r="AF643" s="43"/>
      <c r="AG643" s="64"/>
      <c r="AH643" s="16"/>
      <c r="AI643" s="16"/>
      <c r="AJ643" s="18"/>
    </row>
    <row r="644" spans="1:36">
      <c r="A644" s="1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4"/>
      <c r="AF644" s="16"/>
      <c r="AG644" s="16"/>
      <c r="AH644" s="16"/>
      <c r="AI644" s="16"/>
      <c r="AJ644" s="18"/>
    </row>
    <row r="645" spans="1:36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0"/>
      <c r="AF645" s="21"/>
      <c r="AG645" s="21"/>
      <c r="AH645" s="21"/>
      <c r="AI645" s="21"/>
      <c r="AJ645" s="33"/>
    </row>
    <row r="646" spans="1:36">
      <c r="A646" s="10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65"/>
      <c r="AF646" s="66"/>
      <c r="AG646" s="66"/>
      <c r="AH646" s="66"/>
      <c r="AI646" s="66"/>
      <c r="AJ646" s="67"/>
    </row>
    <row r="647" spans="1:36">
      <c r="A647" s="1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0"/>
      <c r="AF647" s="43"/>
      <c r="AG647" s="43"/>
      <c r="AH647" s="43"/>
      <c r="AI647" s="43"/>
      <c r="AJ647" s="46"/>
    </row>
    <row r="648" spans="1:36">
      <c r="A648" s="1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4"/>
      <c r="AF648" s="16"/>
      <c r="AG648" s="16"/>
      <c r="AH648" s="16"/>
      <c r="AI648" s="16"/>
      <c r="AJ648" s="18"/>
    </row>
    <row r="649" spans="1:36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0"/>
      <c r="AF649" s="21"/>
      <c r="AG649" s="21"/>
      <c r="AH649" s="21"/>
      <c r="AI649" s="21"/>
      <c r="AJ649" s="33"/>
    </row>
    <row r="650" spans="1:36">
      <c r="A650" s="10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65"/>
      <c r="AF650" s="66"/>
      <c r="AG650" s="66"/>
      <c r="AH650" s="43"/>
      <c r="AI650" s="66"/>
      <c r="AJ650" s="67"/>
    </row>
    <row r="651" spans="1:36">
      <c r="A651" s="1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0"/>
      <c r="AF651" s="43"/>
      <c r="AG651" s="68"/>
      <c r="AH651" s="43"/>
      <c r="AI651" s="43"/>
      <c r="AJ651" s="46"/>
    </row>
    <row r="652" spans="1:36">
      <c r="A652" s="1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4"/>
      <c r="AF652" s="16"/>
      <c r="AG652" s="16"/>
      <c r="AH652" s="16"/>
      <c r="AI652" s="16"/>
      <c r="AJ652" s="18"/>
    </row>
    <row r="653" spans="1:36">
      <c r="A653" s="14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14"/>
      <c r="AF653" s="16"/>
      <c r="AG653" s="36"/>
      <c r="AH653" s="16"/>
      <c r="AI653" s="16"/>
      <c r="AJ653" s="18"/>
    </row>
    <row r="654" spans="1:36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74"/>
      <c r="AF654" s="75"/>
      <c r="AG654" s="69"/>
      <c r="AH654" s="21"/>
      <c r="AI654" s="21"/>
      <c r="AJ654" s="33"/>
    </row>
    <row r="655" spans="1:36">
      <c r="A655" s="76" t="s">
        <v>205</v>
      </c>
      <c r="B655" s="76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2" t="s">
        <v>206</v>
      </c>
      <c r="AF655" s="73"/>
      <c r="AG655" s="70"/>
    </row>
    <row r="656" spans="1:36">
      <c r="A656" s="71" t="s">
        <v>207</v>
      </c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8" spans="1:36">
      <c r="A658" s="71" t="s">
        <v>208</v>
      </c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G658" s="71" t="s">
        <v>209</v>
      </c>
      <c r="AH658" s="71"/>
      <c r="AI658" s="71"/>
      <c r="AJ658" s="71"/>
    </row>
    <row r="661" spans="1:36">
      <c r="A661" s="71" t="s">
        <v>210</v>
      </c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</row>
    <row r="662" spans="1:36">
      <c r="A662" s="71" t="s">
        <v>211</v>
      </c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</row>
    <row r="663" spans="1:36">
      <c r="A663" s="71" t="s">
        <v>212</v>
      </c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</row>
    <row r="664" spans="1:36">
      <c r="A664" s="10" t="s">
        <v>194</v>
      </c>
      <c r="B664" s="10" t="s">
        <v>120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78" t="s">
        <v>121</v>
      </c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3"/>
      <c r="AG664" s="10"/>
      <c r="AH664" s="43"/>
      <c r="AI664" s="43"/>
      <c r="AJ664" s="46"/>
    </row>
    <row r="665" spans="1:36">
      <c r="A665" s="14" t="s">
        <v>195</v>
      </c>
      <c r="B665" s="1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79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1"/>
      <c r="AG665" s="14" t="s">
        <v>196</v>
      </c>
      <c r="AH665" s="14" t="s">
        <v>197</v>
      </c>
      <c r="AI665" s="16" t="s">
        <v>198</v>
      </c>
      <c r="AJ665" s="18" t="s">
        <v>126</v>
      </c>
    </row>
    <row r="666" spans="1:36">
      <c r="A666" s="1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0" t="s">
        <v>199</v>
      </c>
      <c r="AF666" s="10"/>
      <c r="AG666" s="14" t="s">
        <v>200</v>
      </c>
      <c r="AH666" s="14" t="s">
        <v>201</v>
      </c>
      <c r="AI666" s="16" t="s">
        <v>202</v>
      </c>
      <c r="AJ666" s="18"/>
    </row>
    <row r="667" spans="1:36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0" t="s">
        <v>203</v>
      </c>
      <c r="AF667" s="20" t="s">
        <v>204</v>
      </c>
      <c r="AG667" s="20"/>
      <c r="AH667" s="21"/>
      <c r="AI667" s="21"/>
      <c r="AJ667" s="63"/>
    </row>
    <row r="668" spans="1:36">
      <c r="A668" s="10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72"/>
      <c r="AF668" s="73"/>
      <c r="AG668" s="45"/>
      <c r="AH668" s="43"/>
      <c r="AI668" s="43"/>
      <c r="AJ668" s="46"/>
    </row>
    <row r="669" spans="1:36">
      <c r="A669" s="1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0"/>
      <c r="AF669" s="43"/>
      <c r="AG669" s="64"/>
      <c r="AH669" s="16"/>
      <c r="AI669" s="16"/>
      <c r="AJ669" s="18"/>
    </row>
    <row r="670" spans="1:36">
      <c r="A670" s="1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4"/>
      <c r="AF670" s="16"/>
      <c r="AG670" s="16"/>
      <c r="AH670" s="16"/>
      <c r="AI670" s="16"/>
      <c r="AJ670" s="18"/>
    </row>
    <row r="671" spans="1:36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0"/>
      <c r="AF671" s="21"/>
      <c r="AG671" s="21"/>
      <c r="AH671" s="21"/>
      <c r="AI671" s="21"/>
      <c r="AJ671" s="33"/>
    </row>
    <row r="672" spans="1:36">
      <c r="A672" s="10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65"/>
      <c r="AF672" s="66"/>
      <c r="AG672" s="66"/>
      <c r="AH672" s="66"/>
      <c r="AI672" s="66"/>
      <c r="AJ672" s="67"/>
    </row>
    <row r="673" spans="1:36">
      <c r="A673" s="1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0"/>
      <c r="AF673" s="43"/>
      <c r="AG673" s="43"/>
      <c r="AH673" s="43"/>
      <c r="AI673" s="43"/>
      <c r="AJ673" s="46"/>
    </row>
    <row r="674" spans="1:36">
      <c r="A674" s="1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4"/>
      <c r="AF674" s="16"/>
      <c r="AG674" s="16"/>
      <c r="AH674" s="16"/>
      <c r="AI674" s="16"/>
      <c r="AJ674" s="18"/>
    </row>
    <row r="675" spans="1:36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0"/>
      <c r="AF675" s="21"/>
      <c r="AG675" s="21"/>
      <c r="AH675" s="21"/>
      <c r="AI675" s="21"/>
      <c r="AJ675" s="33"/>
    </row>
    <row r="676" spans="1:36">
      <c r="A676" s="10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65"/>
      <c r="AF676" s="66"/>
      <c r="AG676" s="66"/>
      <c r="AH676" s="43"/>
      <c r="AI676" s="66"/>
      <c r="AJ676" s="67"/>
    </row>
    <row r="677" spans="1:36">
      <c r="A677" s="1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0"/>
      <c r="AF677" s="43"/>
      <c r="AG677" s="68"/>
      <c r="AH677" s="43"/>
      <c r="AI677" s="43"/>
      <c r="AJ677" s="46"/>
    </row>
    <row r="678" spans="1:36">
      <c r="A678" s="1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4"/>
      <c r="AF678" s="16"/>
      <c r="AG678" s="16"/>
      <c r="AH678" s="16"/>
      <c r="AI678" s="16"/>
      <c r="AJ678" s="18"/>
    </row>
    <row r="679" spans="1:36">
      <c r="A679" s="14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14"/>
      <c r="AF679" s="16"/>
      <c r="AG679" s="36"/>
      <c r="AH679" s="16"/>
      <c r="AI679" s="16"/>
      <c r="AJ679" s="18"/>
    </row>
    <row r="680" spans="1:36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74"/>
      <c r="AF680" s="75"/>
      <c r="AG680" s="69"/>
      <c r="AH680" s="21"/>
      <c r="AI680" s="21"/>
      <c r="AJ680" s="33"/>
    </row>
    <row r="681" spans="1:36">
      <c r="A681" s="76" t="s">
        <v>205</v>
      </c>
      <c r="B681" s="76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2" t="s">
        <v>206</v>
      </c>
      <c r="AF681" s="73"/>
      <c r="AG681" s="70"/>
    </row>
    <row r="682" spans="1:36">
      <c r="A682" s="71" t="s">
        <v>207</v>
      </c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4" spans="1:36">
      <c r="A684" s="71" t="s">
        <v>208</v>
      </c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G684" s="71" t="s">
        <v>209</v>
      </c>
      <c r="AH684" s="71"/>
      <c r="AI684" s="71"/>
      <c r="AJ684" s="71"/>
    </row>
  </sheetData>
  <mergeCells count="418">
    <mergeCell ref="AF4:AF5"/>
    <mergeCell ref="C6:F6"/>
    <mergeCell ref="G6:J6"/>
    <mergeCell ref="K6:N6"/>
    <mergeCell ref="O6:R6"/>
    <mergeCell ref="S6:V6"/>
    <mergeCell ref="W6:Z6"/>
    <mergeCell ref="AA6:AD6"/>
    <mergeCell ref="A1:AJ1"/>
    <mergeCell ref="A2:AJ2"/>
    <mergeCell ref="A3:A5"/>
    <mergeCell ref="B3:B5"/>
    <mergeCell ref="C3:AD5"/>
    <mergeCell ref="AG3:AG5"/>
    <mergeCell ref="AH3:AH5"/>
    <mergeCell ref="AI3:AI5"/>
    <mergeCell ref="AJ3:AJ5"/>
    <mergeCell ref="AE4:AE5"/>
    <mergeCell ref="AA8:AD8"/>
    <mergeCell ref="C10:F10"/>
    <mergeCell ref="G10:J10"/>
    <mergeCell ref="K10:N10"/>
    <mergeCell ref="O10:R10"/>
    <mergeCell ref="S10:V10"/>
    <mergeCell ref="W10:Z10"/>
    <mergeCell ref="AA10:AD10"/>
    <mergeCell ref="C8:F8"/>
    <mergeCell ref="G8:J8"/>
    <mergeCell ref="K8:N8"/>
    <mergeCell ref="O8:R8"/>
    <mergeCell ref="S8:V8"/>
    <mergeCell ref="W8:Z8"/>
    <mergeCell ref="AA12:AD12"/>
    <mergeCell ref="C14:F14"/>
    <mergeCell ref="G14:J14"/>
    <mergeCell ref="K14:N14"/>
    <mergeCell ref="O14:R14"/>
    <mergeCell ref="S14:V14"/>
    <mergeCell ref="W14:Z14"/>
    <mergeCell ref="AA14:AD14"/>
    <mergeCell ref="C12:F12"/>
    <mergeCell ref="G12:J12"/>
    <mergeCell ref="K12:N12"/>
    <mergeCell ref="O12:R12"/>
    <mergeCell ref="S12:V12"/>
    <mergeCell ref="W12:Z12"/>
    <mergeCell ref="AA16:AD16"/>
    <mergeCell ref="C18:F18"/>
    <mergeCell ref="G18:J18"/>
    <mergeCell ref="K18:N18"/>
    <mergeCell ref="O18:R18"/>
    <mergeCell ref="S18:V18"/>
    <mergeCell ref="W18:Z18"/>
    <mergeCell ref="AA18:AD18"/>
    <mergeCell ref="C16:F16"/>
    <mergeCell ref="G16:J16"/>
    <mergeCell ref="K16:N16"/>
    <mergeCell ref="O16:R16"/>
    <mergeCell ref="S16:V16"/>
    <mergeCell ref="W16:Z16"/>
    <mergeCell ref="AE24:AF24"/>
    <mergeCell ref="AE51:AF51"/>
    <mergeCell ref="A52:AD52"/>
    <mergeCell ref="AE52:AF52"/>
    <mergeCell ref="A53:AD53"/>
    <mergeCell ref="A55:AD55"/>
    <mergeCell ref="AA20:AD20"/>
    <mergeCell ref="C22:F22"/>
    <mergeCell ref="G22:J22"/>
    <mergeCell ref="K22:N22"/>
    <mergeCell ref="O22:R22"/>
    <mergeCell ref="S22:V22"/>
    <mergeCell ref="W22:Z22"/>
    <mergeCell ref="AA22:AD22"/>
    <mergeCell ref="C20:F20"/>
    <mergeCell ref="G20:J20"/>
    <mergeCell ref="K20:N20"/>
    <mergeCell ref="O20:R20"/>
    <mergeCell ref="S20:V20"/>
    <mergeCell ref="W20:Z20"/>
    <mergeCell ref="O64:AD64"/>
    <mergeCell ref="AE64:AF64"/>
    <mergeCell ref="AE67:AF67"/>
    <mergeCell ref="AE79:AF79"/>
    <mergeCell ref="A80:AD80"/>
    <mergeCell ref="AE80:AF80"/>
    <mergeCell ref="AG55:AJ55"/>
    <mergeCell ref="A59:AJ59"/>
    <mergeCell ref="A60:AJ60"/>
    <mergeCell ref="A61:AJ61"/>
    <mergeCell ref="A62:AJ62"/>
    <mergeCell ref="O63:AD63"/>
    <mergeCell ref="AE63:AF63"/>
    <mergeCell ref="O90:AD90"/>
    <mergeCell ref="AE90:AF90"/>
    <mergeCell ref="O91:AD91"/>
    <mergeCell ref="AE91:AF91"/>
    <mergeCell ref="AE94:AF94"/>
    <mergeCell ref="AE106:AF106"/>
    <mergeCell ref="A81:AD81"/>
    <mergeCell ref="A83:AD83"/>
    <mergeCell ref="AG83:AJ83"/>
    <mergeCell ref="A87:AJ87"/>
    <mergeCell ref="A88:AJ88"/>
    <mergeCell ref="A89:AJ89"/>
    <mergeCell ref="A115:AJ115"/>
    <mergeCell ref="A116:AJ116"/>
    <mergeCell ref="O117:AD117"/>
    <mergeCell ref="AE117:AF117"/>
    <mergeCell ref="O118:AD118"/>
    <mergeCell ref="AE118:AF118"/>
    <mergeCell ref="A107:AD107"/>
    <mergeCell ref="AE107:AF107"/>
    <mergeCell ref="A108:AD108"/>
    <mergeCell ref="A110:AD110"/>
    <mergeCell ref="AG110:AJ110"/>
    <mergeCell ref="A114:AJ114"/>
    <mergeCell ref="AG137:AJ137"/>
    <mergeCell ref="A140:AJ140"/>
    <mergeCell ref="A141:AJ141"/>
    <mergeCell ref="A142:AJ142"/>
    <mergeCell ref="O143:AD143"/>
    <mergeCell ref="AE143:AF143"/>
    <mergeCell ref="AE121:AF121"/>
    <mergeCell ref="AE133:AF133"/>
    <mergeCell ref="A134:AD134"/>
    <mergeCell ref="AE134:AF134"/>
    <mergeCell ref="A135:AD135"/>
    <mergeCell ref="A137:AD137"/>
    <mergeCell ref="A161:AD161"/>
    <mergeCell ref="A163:AD163"/>
    <mergeCell ref="AG163:AJ163"/>
    <mergeCell ref="A166:AJ166"/>
    <mergeCell ref="A167:AJ167"/>
    <mergeCell ref="A168:AJ168"/>
    <mergeCell ref="O144:AD144"/>
    <mergeCell ref="AE144:AF144"/>
    <mergeCell ref="AE147:AF147"/>
    <mergeCell ref="AE159:AF159"/>
    <mergeCell ref="A160:AD160"/>
    <mergeCell ref="AE160:AF160"/>
    <mergeCell ref="A186:AD186"/>
    <mergeCell ref="AE186:AF186"/>
    <mergeCell ref="A187:AD187"/>
    <mergeCell ref="A189:AD189"/>
    <mergeCell ref="AG189:AJ189"/>
    <mergeCell ref="A193:AJ193"/>
    <mergeCell ref="O169:AD169"/>
    <mergeCell ref="AE169:AF169"/>
    <mergeCell ref="O170:AD170"/>
    <mergeCell ref="AE170:AF170"/>
    <mergeCell ref="AE173:AF173"/>
    <mergeCell ref="AE185:AF185"/>
    <mergeCell ref="AE200:AF200"/>
    <mergeCell ref="AE212:AF212"/>
    <mergeCell ref="A213:AD213"/>
    <mergeCell ref="AE213:AF213"/>
    <mergeCell ref="A214:AD214"/>
    <mergeCell ref="A216:AD216"/>
    <mergeCell ref="A194:AJ194"/>
    <mergeCell ref="A195:AJ195"/>
    <mergeCell ref="O196:AD196"/>
    <mergeCell ref="AE196:AF196"/>
    <mergeCell ref="O197:AD197"/>
    <mergeCell ref="AE197:AF197"/>
    <mergeCell ref="O223:AD223"/>
    <mergeCell ref="AE223:AF223"/>
    <mergeCell ref="AE226:AF226"/>
    <mergeCell ref="AE238:AF238"/>
    <mergeCell ref="A239:AD239"/>
    <mergeCell ref="AE239:AF239"/>
    <mergeCell ref="AG216:AJ216"/>
    <mergeCell ref="A219:AJ219"/>
    <mergeCell ref="A220:AJ220"/>
    <mergeCell ref="A221:AJ221"/>
    <mergeCell ref="O222:AD222"/>
    <mergeCell ref="AE222:AF222"/>
    <mergeCell ref="O248:AD248"/>
    <mergeCell ref="AE248:AF248"/>
    <mergeCell ref="O249:AD249"/>
    <mergeCell ref="AE249:AF249"/>
    <mergeCell ref="AE252:AF252"/>
    <mergeCell ref="AE264:AF264"/>
    <mergeCell ref="A240:AD240"/>
    <mergeCell ref="A242:AD242"/>
    <mergeCell ref="AG242:AJ242"/>
    <mergeCell ref="A245:AJ245"/>
    <mergeCell ref="A246:AJ246"/>
    <mergeCell ref="A247:AJ247"/>
    <mergeCell ref="A272:AJ272"/>
    <mergeCell ref="A273:AJ273"/>
    <mergeCell ref="O274:AD274"/>
    <mergeCell ref="AE274:AF274"/>
    <mergeCell ref="O275:AD275"/>
    <mergeCell ref="AE275:AF275"/>
    <mergeCell ref="A265:AD265"/>
    <mergeCell ref="AE265:AF265"/>
    <mergeCell ref="A266:AD266"/>
    <mergeCell ref="A268:AD268"/>
    <mergeCell ref="AG268:AJ268"/>
    <mergeCell ref="A271:AJ271"/>
    <mergeCell ref="AG294:AJ294"/>
    <mergeCell ref="A297:AJ297"/>
    <mergeCell ref="A298:AJ298"/>
    <mergeCell ref="A299:AJ299"/>
    <mergeCell ref="O300:AD300"/>
    <mergeCell ref="AE300:AF300"/>
    <mergeCell ref="AE278:AF278"/>
    <mergeCell ref="AE290:AF290"/>
    <mergeCell ref="A291:AD291"/>
    <mergeCell ref="AE291:AF291"/>
    <mergeCell ref="A292:AD292"/>
    <mergeCell ref="A294:AD294"/>
    <mergeCell ref="A318:AD318"/>
    <mergeCell ref="A320:AD320"/>
    <mergeCell ref="AG320:AJ320"/>
    <mergeCell ref="A323:AJ323"/>
    <mergeCell ref="A324:AJ324"/>
    <mergeCell ref="A325:AJ325"/>
    <mergeCell ref="O301:AD301"/>
    <mergeCell ref="AE301:AF301"/>
    <mergeCell ref="AE304:AF304"/>
    <mergeCell ref="AE316:AF316"/>
    <mergeCell ref="A317:AD317"/>
    <mergeCell ref="AE317:AF317"/>
    <mergeCell ref="A343:AD343"/>
    <mergeCell ref="AE343:AF343"/>
    <mergeCell ref="A344:AD344"/>
    <mergeCell ref="A346:AD346"/>
    <mergeCell ref="AG346:AJ346"/>
    <mergeCell ref="A349:AJ349"/>
    <mergeCell ref="O326:AD326"/>
    <mergeCell ref="AE326:AF326"/>
    <mergeCell ref="O327:AD327"/>
    <mergeCell ref="AE327:AF327"/>
    <mergeCell ref="AE330:AF330"/>
    <mergeCell ref="AE342:AF342"/>
    <mergeCell ref="AE356:AF356"/>
    <mergeCell ref="AE368:AF368"/>
    <mergeCell ref="A369:AD369"/>
    <mergeCell ref="AE369:AF369"/>
    <mergeCell ref="A370:AD370"/>
    <mergeCell ref="A372:AD372"/>
    <mergeCell ref="A350:AJ350"/>
    <mergeCell ref="A351:AJ351"/>
    <mergeCell ref="O352:AD352"/>
    <mergeCell ref="AE352:AF352"/>
    <mergeCell ref="O353:AD353"/>
    <mergeCell ref="AE353:AF353"/>
    <mergeCell ref="O379:AD379"/>
    <mergeCell ref="AE379:AF379"/>
    <mergeCell ref="AE382:AF382"/>
    <mergeCell ref="AE394:AF394"/>
    <mergeCell ref="A395:AD395"/>
    <mergeCell ref="AE395:AF395"/>
    <mergeCell ref="AG372:AJ372"/>
    <mergeCell ref="A375:AJ375"/>
    <mergeCell ref="A376:AJ376"/>
    <mergeCell ref="A377:AJ377"/>
    <mergeCell ref="O378:AD378"/>
    <mergeCell ref="AE378:AF378"/>
    <mergeCell ref="O404:AD404"/>
    <mergeCell ref="AE404:AF404"/>
    <mergeCell ref="O405:AD405"/>
    <mergeCell ref="AE405:AF405"/>
    <mergeCell ref="AE408:AF408"/>
    <mergeCell ref="AE420:AF420"/>
    <mergeCell ref="A396:AD396"/>
    <mergeCell ref="A398:AD398"/>
    <mergeCell ref="AG398:AJ398"/>
    <mergeCell ref="A401:AJ401"/>
    <mergeCell ref="A402:AJ402"/>
    <mergeCell ref="A403:AJ403"/>
    <mergeCell ref="A428:AJ428"/>
    <mergeCell ref="A429:AJ429"/>
    <mergeCell ref="O430:AD430"/>
    <mergeCell ref="AE430:AF430"/>
    <mergeCell ref="O431:AD431"/>
    <mergeCell ref="AE431:AF431"/>
    <mergeCell ref="A421:AD421"/>
    <mergeCell ref="AE421:AF421"/>
    <mergeCell ref="A422:AD422"/>
    <mergeCell ref="A424:AD424"/>
    <mergeCell ref="AG424:AJ424"/>
    <mergeCell ref="A427:AJ427"/>
    <mergeCell ref="AG450:AJ450"/>
    <mergeCell ref="A453:AJ453"/>
    <mergeCell ref="A454:AJ454"/>
    <mergeCell ref="A455:AJ455"/>
    <mergeCell ref="O456:AD456"/>
    <mergeCell ref="AE456:AF456"/>
    <mergeCell ref="AE434:AF434"/>
    <mergeCell ref="AE446:AF446"/>
    <mergeCell ref="A447:AD447"/>
    <mergeCell ref="AE447:AF447"/>
    <mergeCell ref="A448:AD448"/>
    <mergeCell ref="A450:AD450"/>
    <mergeCell ref="A474:AD474"/>
    <mergeCell ref="A476:AD476"/>
    <mergeCell ref="AG476:AJ476"/>
    <mergeCell ref="A479:AJ479"/>
    <mergeCell ref="A480:AJ480"/>
    <mergeCell ref="A481:AJ481"/>
    <mergeCell ref="O457:AD457"/>
    <mergeCell ref="AE457:AF457"/>
    <mergeCell ref="AE460:AF460"/>
    <mergeCell ref="AE472:AF472"/>
    <mergeCell ref="A473:AD473"/>
    <mergeCell ref="AE473:AF473"/>
    <mergeCell ref="A499:AD499"/>
    <mergeCell ref="AE499:AF499"/>
    <mergeCell ref="A500:AD500"/>
    <mergeCell ref="A502:AD502"/>
    <mergeCell ref="AG502:AJ502"/>
    <mergeCell ref="A505:AJ505"/>
    <mergeCell ref="O482:AD482"/>
    <mergeCell ref="AE482:AF482"/>
    <mergeCell ref="O483:AD483"/>
    <mergeCell ref="AE483:AF483"/>
    <mergeCell ref="AE486:AF486"/>
    <mergeCell ref="AE498:AF498"/>
    <mergeCell ref="AE512:AF512"/>
    <mergeCell ref="AE524:AF524"/>
    <mergeCell ref="A525:AD525"/>
    <mergeCell ref="AE525:AF525"/>
    <mergeCell ref="A526:AD526"/>
    <mergeCell ref="A528:AD528"/>
    <mergeCell ref="A506:AJ506"/>
    <mergeCell ref="A507:AJ507"/>
    <mergeCell ref="O508:AD508"/>
    <mergeCell ref="AE508:AF508"/>
    <mergeCell ref="O509:AD509"/>
    <mergeCell ref="AE509:AF509"/>
    <mergeCell ref="O535:AD535"/>
    <mergeCell ref="AE535:AF535"/>
    <mergeCell ref="AE538:AF538"/>
    <mergeCell ref="AE550:AF550"/>
    <mergeCell ref="A551:AD551"/>
    <mergeCell ref="AE551:AF551"/>
    <mergeCell ref="AG528:AJ528"/>
    <mergeCell ref="A531:AJ531"/>
    <mergeCell ref="A532:AJ532"/>
    <mergeCell ref="A533:AJ533"/>
    <mergeCell ref="O534:AD534"/>
    <mergeCell ref="AE534:AF534"/>
    <mergeCell ref="O560:AD560"/>
    <mergeCell ref="AE560:AF560"/>
    <mergeCell ref="O561:AD561"/>
    <mergeCell ref="AE561:AF561"/>
    <mergeCell ref="AE564:AF564"/>
    <mergeCell ref="AE576:AF576"/>
    <mergeCell ref="A552:AD552"/>
    <mergeCell ref="A554:AD554"/>
    <mergeCell ref="AG554:AJ554"/>
    <mergeCell ref="A557:AJ557"/>
    <mergeCell ref="A558:AJ558"/>
    <mergeCell ref="A559:AJ559"/>
    <mergeCell ref="A584:AJ584"/>
    <mergeCell ref="A585:AJ585"/>
    <mergeCell ref="O586:AD586"/>
    <mergeCell ref="AE586:AF586"/>
    <mergeCell ref="O587:AD587"/>
    <mergeCell ref="AE587:AF587"/>
    <mergeCell ref="A577:AD577"/>
    <mergeCell ref="AE577:AF577"/>
    <mergeCell ref="A578:AD578"/>
    <mergeCell ref="A580:AD580"/>
    <mergeCell ref="AG580:AJ580"/>
    <mergeCell ref="A583:AJ583"/>
    <mergeCell ref="AG606:AJ606"/>
    <mergeCell ref="A609:AJ609"/>
    <mergeCell ref="A610:AJ610"/>
    <mergeCell ref="A611:AJ611"/>
    <mergeCell ref="O612:AD612"/>
    <mergeCell ref="AE612:AF612"/>
    <mergeCell ref="AE590:AF590"/>
    <mergeCell ref="AE602:AF602"/>
    <mergeCell ref="A603:AD603"/>
    <mergeCell ref="AE603:AF603"/>
    <mergeCell ref="A604:AD604"/>
    <mergeCell ref="A606:AD606"/>
    <mergeCell ref="A630:AD630"/>
    <mergeCell ref="A632:AD632"/>
    <mergeCell ref="AG632:AJ632"/>
    <mergeCell ref="A635:AJ635"/>
    <mergeCell ref="A636:AJ636"/>
    <mergeCell ref="A637:AJ637"/>
    <mergeCell ref="O613:AD613"/>
    <mergeCell ref="AE613:AF613"/>
    <mergeCell ref="AE616:AF616"/>
    <mergeCell ref="AE628:AF628"/>
    <mergeCell ref="A629:AD629"/>
    <mergeCell ref="AE629:AF629"/>
    <mergeCell ref="A655:AD655"/>
    <mergeCell ref="AE655:AF655"/>
    <mergeCell ref="A656:AD656"/>
    <mergeCell ref="A658:AD658"/>
    <mergeCell ref="AG658:AJ658"/>
    <mergeCell ref="A661:AJ661"/>
    <mergeCell ref="O638:AD638"/>
    <mergeCell ref="AE638:AF638"/>
    <mergeCell ref="O639:AD639"/>
    <mergeCell ref="AE639:AF639"/>
    <mergeCell ref="AE642:AF642"/>
    <mergeCell ref="AE654:AF654"/>
    <mergeCell ref="AG684:AJ684"/>
    <mergeCell ref="AE668:AF668"/>
    <mergeCell ref="AE680:AF680"/>
    <mergeCell ref="A681:AD681"/>
    <mergeCell ref="AE681:AF681"/>
    <mergeCell ref="A682:AD682"/>
    <mergeCell ref="A684:AD684"/>
    <mergeCell ref="A662:AJ662"/>
    <mergeCell ref="A663:AJ663"/>
    <mergeCell ref="O664:AD664"/>
    <mergeCell ref="AE664:AF664"/>
    <mergeCell ref="O665:AD665"/>
    <mergeCell ref="AE665:AF6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รายชื่อ </vt:lpstr>
      <vt:lpstr>ตัวอย่างการเบิก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10</dc:creator>
  <cp:lastModifiedBy>kwan daorueang</cp:lastModifiedBy>
  <dcterms:created xsi:type="dcterms:W3CDTF">2026-06-14T14:34:06Z</dcterms:created>
  <dcterms:modified xsi:type="dcterms:W3CDTF">2026-06-16T17:00:52Z</dcterms:modified>
</cp:coreProperties>
</file>